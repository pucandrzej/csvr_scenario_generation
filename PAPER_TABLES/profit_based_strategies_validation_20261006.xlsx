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iczi\Studies\PUBLIC_REPOSITORIES\csvr_scenario_generation\PAPER_TABLES\"/>
    </mc:Choice>
  </mc:AlternateContent>
  <xr:revisionPtr revIDLastSave="0" documentId="13_ncr:1_{F8B9F957-39BD-4EE9-ABE4-B9BE5AC1D8A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kernel" sheetId="1" r:id="rId1"/>
    <sheet name="mae" sheetId="2" r:id="rId2"/>
    <sheet name="static" sheetId="3" r:id="rId3"/>
    <sheet name="all" sheetId="4" r:id="rId4"/>
    <sheet name="all_para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  <c r="U4" i="4"/>
  <c r="U3" i="4"/>
  <c r="U5" i="4"/>
  <c r="V2" i="4" s="1"/>
  <c r="U6" i="4"/>
  <c r="U7" i="4"/>
  <c r="U8" i="4"/>
  <c r="U9" i="4"/>
  <c r="U10" i="4"/>
  <c r="U11" i="4"/>
  <c r="U12" i="4"/>
  <c r="U13" i="4"/>
  <c r="U14" i="4"/>
  <c r="U15" i="4"/>
  <c r="U16" i="4"/>
  <c r="W2" i="4" s="1"/>
  <c r="U17" i="4"/>
  <c r="W17" i="4" s="1"/>
  <c r="U18" i="4"/>
  <c r="U19" i="4"/>
  <c r="V17" i="4" s="1"/>
  <c r="U20" i="4"/>
  <c r="U21" i="4"/>
  <c r="U22" i="4"/>
  <c r="U23" i="4"/>
  <c r="U24" i="4"/>
  <c r="U25" i="4"/>
  <c r="U26" i="4"/>
  <c r="U27" i="4"/>
  <c r="U28" i="4"/>
  <c r="U29" i="4"/>
  <c r="U30" i="4"/>
  <c r="U31" i="4"/>
  <c r="U2" i="4"/>
  <c r="P17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N17" i="4"/>
  <c r="O17" i="4" s="1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2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2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2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2" i="4"/>
  <c r="T2" i="4" l="1"/>
  <c r="S12" i="4"/>
  <c r="P2" i="4"/>
  <c r="S2" i="4"/>
  <c r="O2" i="4"/>
  <c r="S17" i="4"/>
  <c r="T12" i="4"/>
  <c r="T17" i="4"/>
  <c r="AD2" i="4"/>
  <c r="AJ2" i="4"/>
  <c r="AD17" i="4"/>
  <c r="AC2" i="4"/>
  <c r="AK2" i="4"/>
  <c r="AC17" i="4"/>
  <c r="AI17" i="4"/>
  <c r="AK17" i="4"/>
  <c r="AF17" i="4"/>
  <c r="AH2" i="4"/>
  <c r="AF2" i="4"/>
  <c r="AI2" i="4"/>
  <c r="AH17" i="4"/>
  <c r="AJ17" i="4"/>
  <c r="AE17" i="4"/>
  <c r="AE2" i="4"/>
</calcChain>
</file>

<file path=xl/sharedStrings.xml><?xml version="1.0" encoding="utf-8"?>
<sst xmlns="http://schemas.openxmlformats.org/spreadsheetml/2006/main" count="1060" uniqueCount="92">
  <si>
    <t>AGENT</t>
  </si>
  <si>
    <t>MODEL</t>
  </si>
  <si>
    <t>RISK</t>
  </si>
  <si>
    <t>SCENARIO</t>
  </si>
  <si>
    <t>DATA</t>
  </si>
  <si>
    <t>file</t>
  </si>
  <si>
    <t>SCP</t>
  </si>
  <si>
    <t>p</t>
  </si>
  <si>
    <t>lambda</t>
  </si>
  <si>
    <t>threshold</t>
  </si>
  <si>
    <t>weights</t>
  </si>
  <si>
    <t>PROFIT</t>
  </si>
  <si>
    <t>STD-</t>
  </si>
  <si>
    <t>RTP</t>
  </si>
  <si>
    <t>TOPK</t>
  </si>
  <si>
    <t>SORTINO</t>
  </si>
  <si>
    <t>static_profit</t>
  </si>
  <si>
    <t>static_std_minus</t>
  </si>
  <si>
    <t>static_rtp</t>
  </si>
  <si>
    <t>static_topk</t>
  </si>
  <si>
    <t>static_sortino</t>
  </si>
  <si>
    <t>PROP</t>
  </si>
  <si>
    <t>BANDS</t>
  </si>
  <si>
    <t>RISK AVERSE</t>
  </si>
  <si>
    <t>---</t>
  </si>
  <si>
    <t>test_trading_strategy_measures______None_____benchmark_prediction_False_bands_risk_averse.csv</t>
  </si>
  <si>
    <t>mae</t>
  </si>
  <si>
    <t>kernel</t>
  </si>
  <si>
    <t>HIST</t>
  </si>
  <si>
    <t>test_trading_strategy_measures__hist_insample_None_False_None_MULTI_prediction_False_bands_risk_averse.csv</t>
  </si>
  <si>
    <t>WEATHER</t>
  </si>
  <si>
    <t>test_trading_strategy_measures__weather_scenarios_None_False_None_MULTI_prediction_False_bands_risk_averse.csv</t>
  </si>
  <si>
    <t>5_95_IPR</t>
  </si>
  <si>
    <t>SVS</t>
  </si>
  <si>
    <t>test_trading_strategy_measures__hist_insample_None_True_dual_coeff_MULTI_prediction_False_bands_risk_averse.csv</t>
  </si>
  <si>
    <t>test_trading_strategy_measures__weather_scenarios_None_True_dual_coeff_MULTI_prediction_False_bands_risk_averse.csv</t>
  </si>
  <si>
    <t>RISK SEEKING</t>
  </si>
  <si>
    <t>test_trading_strategy_measures______None_____benchmark_prediction_False_bands_risk_seeking.csv</t>
  </si>
  <si>
    <t>iqr</t>
  </si>
  <si>
    <t>test_trading_strategy_measures__hist_insample_None_False_None_MULTI_prediction_False_bands_risk_seeking.csv</t>
  </si>
  <si>
    <t>test_trading_strategy_measures__weather_scenarios_None_False_None_MULTI_prediction_False_bands_risk_seeking.csv</t>
  </si>
  <si>
    <t>test_trading_strategy_measures__hist_insample_None_True_dual_coeff_MULTI_prediction_False_bands_risk_seeking.csv</t>
  </si>
  <si>
    <t>test_trading_strategy_measures__weather_scenarios_None_True_dual_coeff_MULTI_prediction_False_bands_risk_seeking.csv</t>
  </si>
  <si>
    <t>MEDIAN</t>
  </si>
  <si>
    <t>test_trading_strategy_measures______None_____benchmark_prediction_False_median_risk_seeking.csv</t>
  </si>
  <si>
    <t>3sigma</t>
  </si>
  <si>
    <t>test_trading_strategy_measures__hist_insample_None_False_None_MULTI_prediction_False_median_risk_seeking.csv</t>
  </si>
  <si>
    <t>test_trading_strategy_measures__weather_scenarios_None_False_None_MULTI_prediction_False_median_risk_seeking.csv</t>
  </si>
  <si>
    <t>test_trading_strategy_measures__hist_insample_None_True_dual_coeff_MULTI_prediction_False_median_risk_seeking.csv</t>
  </si>
  <si>
    <t>test_trading_strategy_measures__weather_scenarios_None_True_dual_coeff_MULTI_prediction_False_median_risk_seeking.csv</t>
  </si>
  <si>
    <t>SELLER</t>
  </si>
  <si>
    <t>test_trading_strategy_measures______None_____benchmark_prediction_True_bands_risk_averse.csv</t>
  </si>
  <si>
    <t>test_trading_strategy_measures__hist_insample_None_False_None_MULTI_prediction_True_bands_risk_averse.csv</t>
  </si>
  <si>
    <t>test_trading_strategy_measures__weather_scenarios_None_False_None_MULTI_prediction_True_bands_risk_averse.csv</t>
  </si>
  <si>
    <t>test_trading_strategy_measures__hist_insample_None_True_dual_coeff_MULTI_prediction_True_bands_risk_averse.csv</t>
  </si>
  <si>
    <t>test_trading_strategy_measures__weather_scenarios_None_True_dual_coeff_MULTI_prediction_True_bands_risk_averse.csv</t>
  </si>
  <si>
    <t>test_trading_strategy_measures______None_____benchmark_prediction_True_bands_risk_seeking.csv</t>
  </si>
  <si>
    <t>test_trading_strategy_measures__hist_insample_None_False_None_MULTI_prediction_True_bands_risk_seeking.csv</t>
  </si>
  <si>
    <t>test_trading_strategy_measures__weather_scenarios_None_False_None_MULTI_prediction_True_bands_risk_seeking.csv</t>
  </si>
  <si>
    <t>test_trading_strategy_measures__hist_insample_None_True_dual_coeff_MULTI_prediction_True_bands_risk_seeking.csv</t>
  </si>
  <si>
    <t>test_trading_strategy_measures__weather_scenarios_None_True_dual_coeff_MULTI_prediction_True_bands_risk_seeking.csv</t>
  </si>
  <si>
    <t>test_trading_strategy_measures______None_____benchmark_prediction_True_median_risk_seeking.csv</t>
  </si>
  <si>
    <t>test_trading_strategy_measures__hist_insample_None_False_None_MULTI_prediction_True_median_risk_seeking.csv</t>
  </si>
  <si>
    <t>test_trading_strategy_measures__weather_scenarios_None_False_None_MULTI_prediction_True_median_risk_seeking.csv</t>
  </si>
  <si>
    <t>test_trading_strategy_measures__hist_insample_None_True_dual_coeff_MULTI_prediction_True_median_risk_seeking.csv</t>
  </si>
  <si>
    <t>test_trading_strategy_measures__weather_scenarios_None_True_dual_coeff_MULTI_prediction_True_median_risk_seeking.csv</t>
  </si>
  <si>
    <t>PROFIT KERNEL</t>
  </si>
  <si>
    <t>STD- KERNEL</t>
  </si>
  <si>
    <t>PROFIT MAE</t>
  </si>
  <si>
    <t>STD- MAE</t>
  </si>
  <si>
    <t>PROFIT STATIC</t>
  </si>
  <si>
    <t>STD- STATIC</t>
  </si>
  <si>
    <t>Profit impact: kernel</t>
  </si>
  <si>
    <t>Profit impact: mae</t>
  </si>
  <si>
    <t>Std impact: kernel</t>
  </si>
  <si>
    <t>Std impact: mae</t>
  </si>
  <si>
    <t xml:space="preserve">Avg impact profit </t>
  </si>
  <si>
    <t xml:space="preserve">Avg impact std </t>
  </si>
  <si>
    <t>Median impact profit</t>
  </si>
  <si>
    <t>Median impact std</t>
  </si>
  <si>
    <t xml:space="preserve">Kernel aggregated impact </t>
  </si>
  <si>
    <t>Mae aggregated impact</t>
  </si>
  <si>
    <t>SORTINO STD STATIC</t>
  </si>
  <si>
    <t>RELATIVE DELTA BETWEEN SORTINO AND PROFIT STATIC RISK</t>
  </si>
  <si>
    <t>MEDIAN SORTINO VS PROFIT STATIC RISK IMPACT</t>
  </si>
  <si>
    <t>AVERAGE SORTINO VS PROFIT STATIC RISK IMPACT</t>
  </si>
  <si>
    <t>RELATIVE DELTA BETWEEN SORTINO AND PROFIT KERNEL RISK</t>
  </si>
  <si>
    <t>SORTINO STD KERNEL</t>
  </si>
  <si>
    <t>MEDIAN SORTINO VS PROFIT KERNEL RISK IMPACT</t>
  </si>
  <si>
    <t>AVERAGE SORTINO VS PROFIT KERNEL RISK IMPACT</t>
  </si>
  <si>
    <t>RELATIVE DELTA BETWEEN SORTINO AND PROFIT KERNEL VSS STATIC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</si>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</sst>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>
      <selection activeCell="G2" sqref="G2:J3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>
        <v>0.05</v>
      </c>
      <c r="H2">
        <v>4.5</v>
      </c>
      <c r="I2">
        <v>0</v>
      </c>
      <c r="J2" t="s">
        <v>32</v>
      </c>
      <c r="K2" t="s">
        <v>27</v>
      </c>
      <c r="L2">
        <v>17966.507653907898</v>
      </c>
      <c r="M2">
        <v>14.5012647683059</v>
      </c>
      <c r="N2">
        <v>2.5271505210054501E-2</v>
      </c>
      <c r="O2">
        <v>0.47306743987850502</v>
      </c>
      <c r="P2">
        <v>1238.96142446662</v>
      </c>
      <c r="Q2">
        <v>15890.265441953499</v>
      </c>
      <c r="R2">
        <v>8.4518069622412497</v>
      </c>
      <c r="S2">
        <v>2.2351084230781498E-2</v>
      </c>
      <c r="T2">
        <v>0.50995060451541496</v>
      </c>
      <c r="U2">
        <v>1880.1027416910699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28</v>
      </c>
      <c r="F3" t="s">
        <v>29</v>
      </c>
      <c r="G3">
        <v>0.15</v>
      </c>
      <c r="H3">
        <v>4.5</v>
      </c>
      <c r="I3">
        <v>1.5</v>
      </c>
      <c r="J3" t="s">
        <v>38</v>
      </c>
      <c r="K3" t="s">
        <v>27</v>
      </c>
      <c r="L3">
        <v>56659.5262106753</v>
      </c>
      <c r="M3">
        <v>11.3199532767169</v>
      </c>
      <c r="N3">
        <v>7.9696707864138197E-2</v>
      </c>
      <c r="O3">
        <v>0.40131677442480901</v>
      </c>
      <c r="P3">
        <v>5005.2791584584802</v>
      </c>
      <c r="Q3">
        <v>52132.487607220901</v>
      </c>
      <c r="R3">
        <v>10.6158437105916</v>
      </c>
      <c r="S3">
        <v>7.3329021842061901E-2</v>
      </c>
      <c r="T3">
        <v>0.38858250031938402</v>
      </c>
      <c r="U3">
        <v>4910.81905767013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30</v>
      </c>
      <c r="F4" t="s">
        <v>31</v>
      </c>
      <c r="G4">
        <v>0.4</v>
      </c>
      <c r="H4">
        <v>0.75</v>
      </c>
      <c r="I4">
        <v>0.4</v>
      </c>
      <c r="J4" t="s">
        <v>32</v>
      </c>
      <c r="K4" t="s">
        <v>27</v>
      </c>
      <c r="L4">
        <v>66143.716405281302</v>
      </c>
      <c r="M4">
        <v>13.4290121599171</v>
      </c>
      <c r="N4">
        <v>9.3037072420963998E-2</v>
      </c>
      <c r="O4">
        <v>0.35356621907147601</v>
      </c>
      <c r="P4">
        <v>4925.4342477033897</v>
      </c>
      <c r="Q4">
        <v>62422.215450139702</v>
      </c>
      <c r="R4">
        <v>13.311786558462</v>
      </c>
      <c r="S4">
        <v>8.7802447384827606E-2</v>
      </c>
      <c r="T4">
        <v>0.37190445351733897</v>
      </c>
      <c r="U4">
        <v>4689.2440151438104</v>
      </c>
    </row>
    <row r="5" spans="1:21" x14ac:dyDescent="0.25">
      <c r="A5" t="s">
        <v>21</v>
      </c>
      <c r="B5" t="s">
        <v>22</v>
      </c>
      <c r="C5" t="s">
        <v>23</v>
      </c>
      <c r="D5" t="s">
        <v>33</v>
      </c>
      <c r="E5" t="s">
        <v>28</v>
      </c>
      <c r="F5" t="s">
        <v>34</v>
      </c>
      <c r="G5">
        <v>0.45</v>
      </c>
      <c r="H5">
        <v>0.25</v>
      </c>
      <c r="I5">
        <v>0.4</v>
      </c>
      <c r="J5" t="s">
        <v>32</v>
      </c>
      <c r="K5" t="s">
        <v>27</v>
      </c>
      <c r="L5">
        <v>49868.214150801097</v>
      </c>
      <c r="M5">
        <v>12.0707577506459</v>
      </c>
      <c r="N5">
        <v>7.0144118044775799E-2</v>
      </c>
      <c r="O5">
        <v>0.38354759625538898</v>
      </c>
      <c r="P5">
        <v>4131.3242450029502</v>
      </c>
      <c r="Q5">
        <v>46221.152955559803</v>
      </c>
      <c r="R5">
        <v>12.548508760318599</v>
      </c>
      <c r="S5">
        <v>6.5014199210667797E-2</v>
      </c>
      <c r="T5">
        <v>0.394175229711071</v>
      </c>
      <c r="U5">
        <v>3683.3980705119302</v>
      </c>
    </row>
    <row r="6" spans="1:21" x14ac:dyDescent="0.25">
      <c r="A6" t="s">
        <v>21</v>
      </c>
      <c r="B6" t="s">
        <v>22</v>
      </c>
      <c r="C6" t="s">
        <v>23</v>
      </c>
      <c r="D6" t="s">
        <v>33</v>
      </c>
      <c r="E6" t="s">
        <v>30</v>
      </c>
      <c r="F6" t="s">
        <v>35</v>
      </c>
      <c r="G6">
        <v>0.55000000000000004</v>
      </c>
      <c r="H6">
        <v>0.5</v>
      </c>
      <c r="I6">
        <v>0.4</v>
      </c>
      <c r="J6" t="s">
        <v>32</v>
      </c>
      <c r="K6" t="s">
        <v>27</v>
      </c>
      <c r="L6">
        <v>66797.739029484204</v>
      </c>
      <c r="M6">
        <v>13.9361640564446</v>
      </c>
      <c r="N6">
        <v>9.3957013929543295E-2</v>
      </c>
      <c r="O6">
        <v>0.33570984119694702</v>
      </c>
      <c r="P6">
        <v>4793.1223225371205</v>
      </c>
      <c r="Q6">
        <v>64094.010203565202</v>
      </c>
      <c r="R6">
        <v>13.654940028615901</v>
      </c>
      <c r="S6">
        <v>9.0153976721256204E-2</v>
      </c>
      <c r="T6">
        <v>0.36710942415596998</v>
      </c>
      <c r="U6">
        <v>4693.8331526353404</v>
      </c>
    </row>
    <row r="7" spans="1:21" x14ac:dyDescent="0.25">
      <c r="A7" t="s">
        <v>21</v>
      </c>
      <c r="B7" t="s">
        <v>22</v>
      </c>
      <c r="C7" t="s">
        <v>36</v>
      </c>
      <c r="D7" t="s">
        <v>24</v>
      </c>
      <c r="E7" t="s">
        <v>24</v>
      </c>
      <c r="F7" t="s">
        <v>37</v>
      </c>
      <c r="G7">
        <v>0.25</v>
      </c>
      <c r="H7">
        <v>4.5</v>
      </c>
      <c r="I7">
        <v>0.45</v>
      </c>
      <c r="J7" t="s">
        <v>26</v>
      </c>
      <c r="K7" t="s">
        <v>27</v>
      </c>
      <c r="L7">
        <v>24540.707921205099</v>
      </c>
      <c r="M7">
        <v>11.3350641179719</v>
      </c>
      <c r="N7">
        <v>3.4518707810989903E-2</v>
      </c>
      <c r="O7">
        <v>0.44038037721157602</v>
      </c>
      <c r="P7">
        <v>2165.0259465489398</v>
      </c>
      <c r="Q7">
        <v>6814.2329227583696</v>
      </c>
      <c r="R7">
        <v>10.1032884967941</v>
      </c>
      <c r="S7">
        <v>9.5848300697746001E-3</v>
      </c>
      <c r="T7">
        <v>0.475176436116857</v>
      </c>
      <c r="U7">
        <v>674.45692805075896</v>
      </c>
    </row>
    <row r="8" spans="1:21" x14ac:dyDescent="0.25">
      <c r="A8" t="s">
        <v>21</v>
      </c>
      <c r="B8" t="s">
        <v>22</v>
      </c>
      <c r="C8" t="s">
        <v>36</v>
      </c>
      <c r="D8" t="s">
        <v>24</v>
      </c>
      <c r="E8" t="s">
        <v>28</v>
      </c>
      <c r="F8" t="s">
        <v>39</v>
      </c>
      <c r="G8">
        <v>0.15</v>
      </c>
      <c r="H8">
        <v>0.5</v>
      </c>
      <c r="I8">
        <v>0.45</v>
      </c>
      <c r="J8" t="s">
        <v>26</v>
      </c>
      <c r="K8" t="s">
        <v>27</v>
      </c>
      <c r="L8">
        <v>56020.626101501999</v>
      </c>
      <c r="M8">
        <v>11.8465118260086</v>
      </c>
      <c r="N8">
        <v>7.8798037529941994E-2</v>
      </c>
      <c r="O8">
        <v>0.33132000620629098</v>
      </c>
      <c r="P8">
        <v>4728.8709895608599</v>
      </c>
      <c r="Q8">
        <v>50871.262708925897</v>
      </c>
      <c r="R8">
        <v>12.6004645244375</v>
      </c>
      <c r="S8">
        <v>7.15549958486809E-2</v>
      </c>
      <c r="T8">
        <v>0.40076114891986397</v>
      </c>
      <c r="U8">
        <v>4037.2529608147001</v>
      </c>
    </row>
    <row r="9" spans="1:21" x14ac:dyDescent="0.25">
      <c r="A9" t="s">
        <v>21</v>
      </c>
      <c r="B9" t="s">
        <v>22</v>
      </c>
      <c r="C9" t="s">
        <v>36</v>
      </c>
      <c r="D9" t="s">
        <v>24</v>
      </c>
      <c r="E9" t="s">
        <v>30</v>
      </c>
      <c r="F9" t="s">
        <v>40</v>
      </c>
      <c r="G9">
        <v>0.45</v>
      </c>
      <c r="H9">
        <v>0.5</v>
      </c>
      <c r="I9">
        <v>1</v>
      </c>
      <c r="J9" t="s">
        <v>32</v>
      </c>
      <c r="K9" t="s">
        <v>27</v>
      </c>
      <c r="L9">
        <v>67222.0544884314</v>
      </c>
      <c r="M9">
        <v>14.256108357800599</v>
      </c>
      <c r="N9">
        <v>9.4553851697797994E-2</v>
      </c>
      <c r="O9">
        <v>0.33576053722729898</v>
      </c>
      <c r="P9">
        <v>4715.3159053851195</v>
      </c>
      <c r="Q9">
        <v>62144.521060657004</v>
      </c>
      <c r="R9">
        <v>14.0771759287645</v>
      </c>
      <c r="S9">
        <v>8.7411845307573593E-2</v>
      </c>
      <c r="T9">
        <v>0.364613042815296</v>
      </c>
      <c r="U9">
        <v>4414.5588131547102</v>
      </c>
    </row>
    <row r="10" spans="1:21" x14ac:dyDescent="0.25">
      <c r="A10" t="s">
        <v>21</v>
      </c>
      <c r="B10" t="s">
        <v>22</v>
      </c>
      <c r="C10" t="s">
        <v>36</v>
      </c>
      <c r="D10" t="s">
        <v>33</v>
      </c>
      <c r="E10" t="s">
        <v>28</v>
      </c>
      <c r="F10" t="s">
        <v>41</v>
      </c>
      <c r="G10">
        <v>0.35</v>
      </c>
      <c r="H10">
        <v>0.5</v>
      </c>
      <c r="I10">
        <v>1.5</v>
      </c>
      <c r="J10" t="s">
        <v>26</v>
      </c>
      <c r="K10" t="s">
        <v>27</v>
      </c>
      <c r="L10">
        <v>58866.764662084199</v>
      </c>
      <c r="M10">
        <v>12.3511860720971</v>
      </c>
      <c r="N10">
        <v>8.2801386808934702E-2</v>
      </c>
      <c r="O10">
        <v>0.37484703307031902</v>
      </c>
      <c r="P10">
        <v>4766.0819226965896</v>
      </c>
      <c r="Q10">
        <v>45327.198700364002</v>
      </c>
      <c r="R10">
        <v>14.290023507145101</v>
      </c>
      <c r="S10">
        <v>6.37567723332291E-2</v>
      </c>
      <c r="T10">
        <v>0.41677292672563199</v>
      </c>
      <c r="U10">
        <v>3171.9471054543601</v>
      </c>
    </row>
    <row r="11" spans="1:21" x14ac:dyDescent="0.25">
      <c r="A11" t="s">
        <v>21</v>
      </c>
      <c r="B11" t="s">
        <v>22</v>
      </c>
      <c r="C11" t="s">
        <v>36</v>
      </c>
      <c r="D11" t="s">
        <v>33</v>
      </c>
      <c r="E11" t="s">
        <v>30</v>
      </c>
      <c r="F11" t="s">
        <v>42</v>
      </c>
      <c r="G11">
        <v>0.35</v>
      </c>
      <c r="H11">
        <v>0.25</v>
      </c>
      <c r="I11">
        <v>8</v>
      </c>
      <c r="J11" t="s">
        <v>32</v>
      </c>
      <c r="K11" t="s">
        <v>27</v>
      </c>
      <c r="L11">
        <v>65938.6020030402</v>
      </c>
      <c r="M11">
        <v>14.109988232440999</v>
      </c>
      <c r="N11">
        <v>9.2748560608610503E-2</v>
      </c>
      <c r="O11">
        <v>0.33250853450575901</v>
      </c>
      <c r="P11">
        <v>4673.1861796622397</v>
      </c>
      <c r="Q11">
        <v>62294.243320968802</v>
      </c>
      <c r="R11">
        <v>13.626735043243899</v>
      </c>
      <c r="S11">
        <v>8.7622443101781494E-2</v>
      </c>
      <c r="T11">
        <v>0.37292564181680099</v>
      </c>
      <c r="U11">
        <v>4571.4724123776004</v>
      </c>
    </row>
    <row r="12" spans="1:21" x14ac:dyDescent="0.25">
      <c r="A12" t="s">
        <v>21</v>
      </c>
      <c r="B12" t="s">
        <v>43</v>
      </c>
      <c r="C12" t="s">
        <v>36</v>
      </c>
      <c r="D12" t="s">
        <v>24</v>
      </c>
      <c r="E12" t="s">
        <v>24</v>
      </c>
      <c r="F12" t="s">
        <v>44</v>
      </c>
      <c r="H12">
        <v>0.25</v>
      </c>
      <c r="I12">
        <v>0.45</v>
      </c>
      <c r="J12" t="s">
        <v>45</v>
      </c>
      <c r="K12" t="s">
        <v>27</v>
      </c>
      <c r="L12">
        <v>45050.108401396901</v>
      </c>
      <c r="M12">
        <v>16.475911668716499</v>
      </c>
      <c r="N12">
        <v>6.3367019963492394E-2</v>
      </c>
      <c r="O12">
        <v>0.37521338204532501</v>
      </c>
      <c r="P12">
        <v>2734.30140360216</v>
      </c>
      <c r="Q12">
        <v>42773.102945004197</v>
      </c>
      <c r="R12">
        <v>16.015126491678501</v>
      </c>
      <c r="S12">
        <v>6.0164207465759602E-2</v>
      </c>
      <c r="T12">
        <v>0.38886959702417001</v>
      </c>
      <c r="U12">
        <v>2670.7939501588799</v>
      </c>
    </row>
    <row r="13" spans="1:21" x14ac:dyDescent="0.25">
      <c r="A13" t="s">
        <v>21</v>
      </c>
      <c r="B13" t="s">
        <v>43</v>
      </c>
      <c r="C13" t="s">
        <v>36</v>
      </c>
      <c r="D13" t="s">
        <v>24</v>
      </c>
      <c r="E13" t="s">
        <v>28</v>
      </c>
      <c r="F13" t="s">
        <v>46</v>
      </c>
      <c r="H13">
        <v>0.75</v>
      </c>
      <c r="I13">
        <v>0.4</v>
      </c>
      <c r="J13" t="s">
        <v>26</v>
      </c>
      <c r="K13" t="s">
        <v>27</v>
      </c>
      <c r="L13">
        <v>67630.182887763207</v>
      </c>
      <c r="M13">
        <v>12.343937813118</v>
      </c>
      <c r="N13">
        <v>9.5127920914184802E-2</v>
      </c>
      <c r="O13">
        <v>0.33932404533668298</v>
      </c>
      <c r="P13">
        <v>5478.8175306498997</v>
      </c>
      <c r="Q13">
        <v>67870.318422118595</v>
      </c>
      <c r="R13">
        <v>13.5400339572644</v>
      </c>
      <c r="S13">
        <v>9.54656930914205E-2</v>
      </c>
      <c r="T13">
        <v>0.36860828872574702</v>
      </c>
      <c r="U13">
        <v>5012.5663374503602</v>
      </c>
    </row>
    <row r="14" spans="1:21" x14ac:dyDescent="0.25">
      <c r="A14" t="s">
        <v>21</v>
      </c>
      <c r="B14" t="s">
        <v>43</v>
      </c>
      <c r="C14" t="s">
        <v>36</v>
      </c>
      <c r="D14" t="s">
        <v>24</v>
      </c>
      <c r="E14" t="s">
        <v>30</v>
      </c>
      <c r="F14" t="s">
        <v>47</v>
      </c>
      <c r="H14">
        <v>4.5</v>
      </c>
      <c r="I14">
        <v>1</v>
      </c>
      <c r="J14" t="s">
        <v>38</v>
      </c>
      <c r="K14" t="s">
        <v>27</v>
      </c>
      <c r="L14">
        <v>60085.237989855799</v>
      </c>
      <c r="M14">
        <v>13.7313714806109</v>
      </c>
      <c r="N14">
        <v>8.4515278882133199E-2</v>
      </c>
      <c r="O14">
        <v>0.31566028203720797</v>
      </c>
      <c r="P14">
        <v>4375.7637811123104</v>
      </c>
      <c r="Q14">
        <v>66542.617097432798</v>
      </c>
      <c r="R14">
        <v>14.437784810750401</v>
      </c>
      <c r="S14">
        <v>9.3598162039168695E-2</v>
      </c>
      <c r="T14">
        <v>0.36087142108598902</v>
      </c>
      <c r="U14">
        <v>4608.9215187557702</v>
      </c>
    </row>
    <row r="15" spans="1:21" x14ac:dyDescent="0.25">
      <c r="A15" t="s">
        <v>21</v>
      </c>
      <c r="B15" t="s">
        <v>43</v>
      </c>
      <c r="C15" t="s">
        <v>36</v>
      </c>
      <c r="D15" t="s">
        <v>33</v>
      </c>
      <c r="E15" t="s">
        <v>28</v>
      </c>
      <c r="F15" t="s">
        <v>48</v>
      </c>
      <c r="H15">
        <v>0.5</v>
      </c>
      <c r="I15">
        <v>0.55000000000000004</v>
      </c>
      <c r="J15" t="s">
        <v>26</v>
      </c>
      <c r="K15" t="s">
        <v>27</v>
      </c>
      <c r="L15">
        <v>64062.218053563898</v>
      </c>
      <c r="M15">
        <v>12.1690818022829</v>
      </c>
      <c r="N15">
        <v>9.01092582094635E-2</v>
      </c>
      <c r="O15">
        <v>0.34992156890943699</v>
      </c>
      <c r="P15">
        <v>5264.3427905584304</v>
      </c>
      <c r="Q15">
        <v>62314.070974214897</v>
      </c>
      <c r="R15">
        <v>13.326399747305199</v>
      </c>
      <c r="S15">
        <v>8.7650332475273707E-2</v>
      </c>
      <c r="T15">
        <v>0.37409797837200398</v>
      </c>
      <c r="U15">
        <v>4675.9869248868499</v>
      </c>
    </row>
    <row r="16" spans="1:21" x14ac:dyDescent="0.25">
      <c r="A16" t="s">
        <v>21</v>
      </c>
      <c r="B16" t="s">
        <v>43</v>
      </c>
      <c r="C16" t="s">
        <v>36</v>
      </c>
      <c r="D16" t="s">
        <v>33</v>
      </c>
      <c r="E16" t="s">
        <v>30</v>
      </c>
      <c r="F16" t="s">
        <v>49</v>
      </c>
      <c r="H16">
        <v>1.25</v>
      </c>
      <c r="I16">
        <v>0</v>
      </c>
      <c r="J16" t="s">
        <v>32</v>
      </c>
      <c r="K16" t="s">
        <v>27</v>
      </c>
      <c r="L16">
        <v>69058.708908109998</v>
      </c>
      <c r="M16">
        <v>14.3062356957509</v>
      </c>
      <c r="N16">
        <v>9.7137270948221E-2</v>
      </c>
      <c r="O16">
        <v>0.331963121632942</v>
      </c>
      <c r="P16">
        <v>4827.1753923794704</v>
      </c>
      <c r="Q16">
        <v>68190.440363490605</v>
      </c>
      <c r="R16">
        <v>13.972592886696001</v>
      </c>
      <c r="S16">
        <v>9.5915973327572804E-2</v>
      </c>
      <c r="T16">
        <v>0.361176413054277</v>
      </c>
      <c r="U16">
        <v>4880.2996635232903</v>
      </c>
    </row>
    <row r="17" spans="1:21" x14ac:dyDescent="0.25">
      <c r="A17" t="s">
        <v>50</v>
      </c>
      <c r="B17" t="s">
        <v>22</v>
      </c>
      <c r="C17" t="s">
        <v>23</v>
      </c>
      <c r="D17" t="s">
        <v>24</v>
      </c>
      <c r="E17" t="s">
        <v>24</v>
      </c>
      <c r="F17" t="s">
        <v>51</v>
      </c>
      <c r="G17">
        <v>0.35</v>
      </c>
      <c r="H17">
        <v>4.5</v>
      </c>
      <c r="I17">
        <v>0.4</v>
      </c>
      <c r="J17" t="s">
        <v>38</v>
      </c>
      <c r="K17" t="s">
        <v>27</v>
      </c>
      <c r="L17">
        <v>1105358.5369289999</v>
      </c>
      <c r="M17">
        <v>15.9095488188504</v>
      </c>
      <c r="N17">
        <v>0.47835474403057099</v>
      </c>
      <c r="O17">
        <v>0.144314071885464</v>
      </c>
      <c r="P17">
        <v>69477.679695059502</v>
      </c>
      <c r="Q17">
        <v>1101627.7201078699</v>
      </c>
      <c r="R17">
        <v>15.990136379000299</v>
      </c>
      <c r="S17">
        <v>0.473107015392978</v>
      </c>
      <c r="T17">
        <v>0.14212887196065899</v>
      </c>
      <c r="U17">
        <v>68894.2041516686</v>
      </c>
    </row>
    <row r="18" spans="1:21" x14ac:dyDescent="0.25">
      <c r="A18" t="s">
        <v>50</v>
      </c>
      <c r="B18" t="s">
        <v>22</v>
      </c>
      <c r="C18" t="s">
        <v>23</v>
      </c>
      <c r="D18" t="s">
        <v>24</v>
      </c>
      <c r="E18" t="s">
        <v>28</v>
      </c>
      <c r="F18" t="s">
        <v>52</v>
      </c>
      <c r="G18">
        <v>0.3</v>
      </c>
      <c r="H18">
        <v>0.25</v>
      </c>
      <c r="I18">
        <v>1.5</v>
      </c>
      <c r="J18" t="s">
        <v>38</v>
      </c>
      <c r="K18" t="s">
        <v>27</v>
      </c>
      <c r="L18">
        <v>1127267.7670737801</v>
      </c>
      <c r="M18">
        <v>17.092134008535599</v>
      </c>
      <c r="N18">
        <v>0.50917204221772305</v>
      </c>
      <c r="O18">
        <v>0.14607250794789201</v>
      </c>
      <c r="P18">
        <v>65952.429726495393</v>
      </c>
      <c r="Q18">
        <v>1125120.42059954</v>
      </c>
      <c r="R18">
        <v>16.6027285460214</v>
      </c>
      <c r="S18">
        <v>0.50615160671312398</v>
      </c>
      <c r="T18">
        <v>0.14591411897908299</v>
      </c>
      <c r="U18">
        <v>67767.199679305893</v>
      </c>
    </row>
    <row r="19" spans="1:21" x14ac:dyDescent="0.25">
      <c r="A19" t="s">
        <v>50</v>
      </c>
      <c r="B19" t="s">
        <v>22</v>
      </c>
      <c r="C19" t="s">
        <v>23</v>
      </c>
      <c r="D19" t="s">
        <v>24</v>
      </c>
      <c r="E19" t="s">
        <v>30</v>
      </c>
      <c r="F19" t="s">
        <v>53</v>
      </c>
      <c r="G19">
        <v>0.45</v>
      </c>
      <c r="H19">
        <v>1.25</v>
      </c>
      <c r="I19">
        <v>0.4</v>
      </c>
      <c r="J19" t="s">
        <v>38</v>
      </c>
      <c r="K19" t="s">
        <v>27</v>
      </c>
      <c r="L19">
        <v>1131272.57939847</v>
      </c>
      <c r="M19">
        <v>16.794365527208601</v>
      </c>
      <c r="N19">
        <v>0.51480517011759697</v>
      </c>
      <c r="O19">
        <v>0.141668945760175</v>
      </c>
      <c r="P19">
        <v>67360.245170660899</v>
      </c>
      <c r="Q19">
        <v>1129566.0854579399</v>
      </c>
      <c r="R19">
        <v>16.548702226870098</v>
      </c>
      <c r="S19">
        <v>0.51240483326083597</v>
      </c>
      <c r="T19">
        <v>0.140489591381148</v>
      </c>
      <c r="U19">
        <v>68257.0796170268</v>
      </c>
    </row>
    <row r="20" spans="1:21" x14ac:dyDescent="0.25">
      <c r="A20" t="s">
        <v>50</v>
      </c>
      <c r="B20" t="s">
        <v>22</v>
      </c>
      <c r="C20" t="s">
        <v>23</v>
      </c>
      <c r="D20" t="s">
        <v>33</v>
      </c>
      <c r="E20" t="s">
        <v>28</v>
      </c>
      <c r="F20" t="s">
        <v>54</v>
      </c>
      <c r="G20">
        <v>0.45</v>
      </c>
      <c r="H20">
        <v>0.25</v>
      </c>
      <c r="I20">
        <v>0</v>
      </c>
      <c r="J20" t="s">
        <v>38</v>
      </c>
      <c r="K20" t="s">
        <v>27</v>
      </c>
      <c r="L20">
        <v>1123379.35811205</v>
      </c>
      <c r="M20">
        <v>17.0571425343961</v>
      </c>
      <c r="N20">
        <v>0.503702646093106</v>
      </c>
      <c r="O20">
        <v>0.14447412284612501</v>
      </c>
      <c r="P20">
        <v>65859.762609518904</v>
      </c>
      <c r="Q20">
        <v>1124243.4673906199</v>
      </c>
      <c r="R20">
        <v>16.744021735642601</v>
      </c>
      <c r="S20">
        <v>0.50491809333283</v>
      </c>
      <c r="T20">
        <v>0.14547180529333401</v>
      </c>
      <c r="U20">
        <v>67142.977066105406</v>
      </c>
    </row>
    <row r="21" spans="1:21" x14ac:dyDescent="0.25">
      <c r="A21" t="s">
        <v>50</v>
      </c>
      <c r="B21" t="s">
        <v>22</v>
      </c>
      <c r="C21" t="s">
        <v>23</v>
      </c>
      <c r="D21" t="s">
        <v>33</v>
      </c>
      <c r="E21" t="s">
        <v>30</v>
      </c>
      <c r="F21" t="s">
        <v>55</v>
      </c>
      <c r="G21">
        <v>0.55000000000000004</v>
      </c>
      <c r="H21">
        <v>0.75</v>
      </c>
      <c r="I21">
        <v>0.8</v>
      </c>
      <c r="J21" t="s">
        <v>38</v>
      </c>
      <c r="K21" t="s">
        <v>27</v>
      </c>
      <c r="L21">
        <v>1134988.62055926</v>
      </c>
      <c r="M21">
        <v>17.073138118022701</v>
      </c>
      <c r="N21">
        <v>0.52003211546305395</v>
      </c>
      <c r="O21">
        <v>0.14225160599136399</v>
      </c>
      <c r="P21">
        <v>66478.031906808101</v>
      </c>
      <c r="Q21">
        <v>1133374.7523261299</v>
      </c>
      <c r="R21">
        <v>16.771036813908399</v>
      </c>
      <c r="S21">
        <v>0.51776206497537003</v>
      </c>
      <c r="T21">
        <v>0.14191755250919499</v>
      </c>
      <c r="U21">
        <v>67579.289515733195</v>
      </c>
    </row>
    <row r="22" spans="1:21" x14ac:dyDescent="0.25">
      <c r="A22" t="s">
        <v>50</v>
      </c>
      <c r="B22" t="s">
        <v>22</v>
      </c>
      <c r="C22" t="s">
        <v>36</v>
      </c>
      <c r="D22" t="s">
        <v>24</v>
      </c>
      <c r="E22" t="s">
        <v>24</v>
      </c>
      <c r="F22" t="s">
        <v>56</v>
      </c>
      <c r="G22">
        <v>0.25</v>
      </c>
      <c r="H22">
        <v>4.5</v>
      </c>
      <c r="I22">
        <v>0.4</v>
      </c>
      <c r="J22" t="s">
        <v>38</v>
      </c>
      <c r="K22" t="s">
        <v>27</v>
      </c>
      <c r="L22">
        <v>1114802.9109221401</v>
      </c>
      <c r="M22">
        <v>16.663191976478799</v>
      </c>
      <c r="N22">
        <v>0.49163910352719598</v>
      </c>
      <c r="O22">
        <v>0.15062177441888899</v>
      </c>
      <c r="P22">
        <v>66902.122504245301</v>
      </c>
      <c r="Q22">
        <v>1099823.65425925</v>
      </c>
      <c r="R22">
        <v>16.485325795269901</v>
      </c>
      <c r="S22">
        <v>0.47056943489202901</v>
      </c>
      <c r="T22">
        <v>0.14564471946813001</v>
      </c>
      <c r="U22">
        <v>66715.312024638202</v>
      </c>
    </row>
    <row r="23" spans="1:21" x14ac:dyDescent="0.25">
      <c r="A23" t="s">
        <v>50</v>
      </c>
      <c r="B23" t="s">
        <v>22</v>
      </c>
      <c r="C23" t="s">
        <v>36</v>
      </c>
      <c r="D23" t="s">
        <v>24</v>
      </c>
      <c r="E23" t="s">
        <v>28</v>
      </c>
      <c r="F23" t="s">
        <v>57</v>
      </c>
      <c r="G23">
        <v>0.1</v>
      </c>
      <c r="H23">
        <v>0.25</v>
      </c>
      <c r="I23">
        <v>0</v>
      </c>
      <c r="J23" t="s">
        <v>26</v>
      </c>
      <c r="K23" t="s">
        <v>27</v>
      </c>
      <c r="L23">
        <v>1125325.1502897199</v>
      </c>
      <c r="M23">
        <v>16.760070390024399</v>
      </c>
      <c r="N23">
        <v>0.50643957739343204</v>
      </c>
      <c r="O23">
        <v>0.140055874276627</v>
      </c>
      <c r="P23">
        <v>67143.223393591106</v>
      </c>
      <c r="Q23">
        <v>1118952.0954529401</v>
      </c>
      <c r="R23">
        <v>16.4182366648959</v>
      </c>
      <c r="S23">
        <v>0.49747530388997602</v>
      </c>
      <c r="T23">
        <v>0.14064621371076999</v>
      </c>
      <c r="U23">
        <v>68153.000732739296</v>
      </c>
    </row>
    <row r="24" spans="1:21" x14ac:dyDescent="0.25">
      <c r="A24" t="s">
        <v>50</v>
      </c>
      <c r="B24" t="s">
        <v>22</v>
      </c>
      <c r="C24" t="s">
        <v>36</v>
      </c>
      <c r="D24" t="s">
        <v>24</v>
      </c>
      <c r="E24" t="s">
        <v>30</v>
      </c>
      <c r="F24" t="s">
        <v>58</v>
      </c>
      <c r="G24">
        <v>0.2</v>
      </c>
      <c r="H24">
        <v>0.5</v>
      </c>
      <c r="I24">
        <v>0.4</v>
      </c>
      <c r="J24" t="s">
        <v>38</v>
      </c>
      <c r="K24" t="s">
        <v>27</v>
      </c>
      <c r="L24">
        <v>1131318.88223722</v>
      </c>
      <c r="M24">
        <v>16.881671721502599</v>
      </c>
      <c r="N24">
        <v>0.51487029921520899</v>
      </c>
      <c r="O24">
        <v>0.140298743675107</v>
      </c>
      <c r="P24">
        <v>67014.623960269804</v>
      </c>
      <c r="Q24">
        <v>1127382.00952606</v>
      </c>
      <c r="R24">
        <v>16.568378247599</v>
      </c>
      <c r="S24">
        <v>0.50933273447820404</v>
      </c>
      <c r="T24">
        <v>0.140064686892236</v>
      </c>
      <c r="U24">
        <v>68044.197970277193</v>
      </c>
    </row>
    <row r="25" spans="1:21" x14ac:dyDescent="0.25">
      <c r="A25" t="s">
        <v>50</v>
      </c>
      <c r="B25" t="s">
        <v>22</v>
      </c>
      <c r="C25" t="s">
        <v>36</v>
      </c>
      <c r="D25" t="s">
        <v>33</v>
      </c>
      <c r="E25" t="s">
        <v>28</v>
      </c>
      <c r="F25" t="s">
        <v>59</v>
      </c>
      <c r="G25">
        <v>0.3</v>
      </c>
      <c r="H25">
        <v>0.25</v>
      </c>
      <c r="I25">
        <v>1.5</v>
      </c>
      <c r="J25" t="s">
        <v>26</v>
      </c>
      <c r="K25" t="s">
        <v>27</v>
      </c>
      <c r="L25">
        <v>1128085.87173122</v>
      </c>
      <c r="M25">
        <v>16.761266473251101</v>
      </c>
      <c r="N25">
        <v>0.51032277982968199</v>
      </c>
      <c r="O25">
        <v>0.14054435972524801</v>
      </c>
      <c r="P25">
        <v>67303.140459673101</v>
      </c>
      <c r="Q25">
        <v>1123753.0736845699</v>
      </c>
      <c r="R25">
        <v>16.5882768662164</v>
      </c>
      <c r="S25">
        <v>0.50422831058060202</v>
      </c>
      <c r="T25">
        <v>0.14161203442609299</v>
      </c>
      <c r="U25">
        <v>67743.809845204698</v>
      </c>
    </row>
    <row r="26" spans="1:21" x14ac:dyDescent="0.25">
      <c r="A26" t="s">
        <v>50</v>
      </c>
      <c r="B26" t="s">
        <v>22</v>
      </c>
      <c r="C26" t="s">
        <v>36</v>
      </c>
      <c r="D26" t="s">
        <v>33</v>
      </c>
      <c r="E26" t="s">
        <v>30</v>
      </c>
      <c r="F26" t="s">
        <v>60</v>
      </c>
      <c r="G26">
        <v>0.45</v>
      </c>
      <c r="H26">
        <v>0.5</v>
      </c>
      <c r="I26">
        <v>8</v>
      </c>
      <c r="J26" t="s">
        <v>38</v>
      </c>
      <c r="K26" t="s">
        <v>27</v>
      </c>
      <c r="L26">
        <v>1135587.7684563899</v>
      </c>
      <c r="M26">
        <v>17.272214290126801</v>
      </c>
      <c r="N26">
        <v>0.52087487074391103</v>
      </c>
      <c r="O26">
        <v>0.143151722779019</v>
      </c>
      <c r="P26">
        <v>65746.507620943303</v>
      </c>
      <c r="Q26">
        <v>1135841.4488886299</v>
      </c>
      <c r="R26">
        <v>16.968455617120402</v>
      </c>
      <c r="S26">
        <v>0.52123169503545996</v>
      </c>
      <c r="T26">
        <v>0.142729396457869</v>
      </c>
      <c r="U26">
        <v>66938.410573005996</v>
      </c>
    </row>
    <row r="27" spans="1:21" x14ac:dyDescent="0.25">
      <c r="A27" t="s">
        <v>50</v>
      </c>
      <c r="B27" t="s">
        <v>43</v>
      </c>
      <c r="C27" t="s">
        <v>36</v>
      </c>
      <c r="D27" t="s">
        <v>24</v>
      </c>
      <c r="E27" t="s">
        <v>24</v>
      </c>
      <c r="F27" t="s">
        <v>61</v>
      </c>
      <c r="H27">
        <v>0.5</v>
      </c>
      <c r="I27">
        <v>0.8</v>
      </c>
      <c r="J27" t="s">
        <v>26</v>
      </c>
      <c r="K27" t="s">
        <v>27</v>
      </c>
      <c r="L27">
        <v>1124970.00601628</v>
      </c>
      <c r="M27">
        <v>16.9688229530875</v>
      </c>
      <c r="N27">
        <v>0.50594003510455998</v>
      </c>
      <c r="O27">
        <v>0.14686080688712599</v>
      </c>
      <c r="P27">
        <v>66296.289915122994</v>
      </c>
      <c r="Q27">
        <v>1126817.4016301199</v>
      </c>
      <c r="R27">
        <v>16.823749290839299</v>
      </c>
      <c r="S27">
        <v>0.50853856280841403</v>
      </c>
      <c r="T27">
        <v>0.14667963931426301</v>
      </c>
      <c r="U27">
        <v>66977.781358384906</v>
      </c>
    </row>
    <row r="28" spans="1:21" x14ac:dyDescent="0.25">
      <c r="A28" t="s">
        <v>50</v>
      </c>
      <c r="B28" t="s">
        <v>43</v>
      </c>
      <c r="C28" t="s">
        <v>36</v>
      </c>
      <c r="D28" t="s">
        <v>24</v>
      </c>
      <c r="E28" t="s">
        <v>28</v>
      </c>
      <c r="F28" t="s">
        <v>62</v>
      </c>
      <c r="H28">
        <v>0.5</v>
      </c>
      <c r="I28">
        <v>0.8</v>
      </c>
      <c r="J28" t="s">
        <v>38</v>
      </c>
      <c r="K28" t="s">
        <v>27</v>
      </c>
      <c r="L28">
        <v>1136702.0338214601</v>
      </c>
      <c r="M28">
        <v>17.042343202310001</v>
      </c>
      <c r="N28">
        <v>0.52244218496664097</v>
      </c>
      <c r="O28">
        <v>0.143405566164964</v>
      </c>
      <c r="P28">
        <v>66698.693972281093</v>
      </c>
      <c r="Q28">
        <v>1138229.86214269</v>
      </c>
      <c r="R28">
        <v>16.948829301457401</v>
      </c>
      <c r="S28">
        <v>0.52459121259760699</v>
      </c>
      <c r="T28">
        <v>0.14561180627727</v>
      </c>
      <c r="U28">
        <v>67156.842628937302</v>
      </c>
    </row>
    <row r="29" spans="1:21" x14ac:dyDescent="0.25">
      <c r="A29" t="s">
        <v>50</v>
      </c>
      <c r="B29" t="s">
        <v>43</v>
      </c>
      <c r="C29" t="s">
        <v>36</v>
      </c>
      <c r="D29" t="s">
        <v>24</v>
      </c>
      <c r="E29" t="s">
        <v>30</v>
      </c>
      <c r="F29" t="s">
        <v>63</v>
      </c>
      <c r="H29">
        <v>0.5</v>
      </c>
      <c r="I29">
        <v>8</v>
      </c>
      <c r="J29" t="s">
        <v>26</v>
      </c>
      <c r="K29" t="s">
        <v>27</v>
      </c>
      <c r="L29">
        <v>1138356.3356956299</v>
      </c>
      <c r="M29">
        <v>17.300797634575499</v>
      </c>
      <c r="N29">
        <v>0.52476910899871299</v>
      </c>
      <c r="O29">
        <v>0.14360600302453699</v>
      </c>
      <c r="P29">
        <v>65797.910578448806</v>
      </c>
      <c r="Q29">
        <v>1137386.5286859199</v>
      </c>
      <c r="R29">
        <v>17.0157312459807</v>
      </c>
      <c r="S29">
        <v>0.52340498841552396</v>
      </c>
      <c r="T29">
        <v>0.14337107647884101</v>
      </c>
      <c r="U29">
        <v>66843.235371067902</v>
      </c>
    </row>
    <row r="30" spans="1:21" x14ac:dyDescent="0.25">
      <c r="A30" t="s">
        <v>50</v>
      </c>
      <c r="B30" t="s">
        <v>43</v>
      </c>
      <c r="C30" t="s">
        <v>36</v>
      </c>
      <c r="D30" t="s">
        <v>33</v>
      </c>
      <c r="E30" t="s">
        <v>28</v>
      </c>
      <c r="F30" t="s">
        <v>64</v>
      </c>
      <c r="H30">
        <v>0.25</v>
      </c>
      <c r="I30">
        <v>1.5</v>
      </c>
      <c r="J30" t="s">
        <v>26</v>
      </c>
      <c r="K30" t="s">
        <v>27</v>
      </c>
      <c r="L30">
        <v>1135586.7680252199</v>
      </c>
      <c r="M30">
        <v>17.257187233780201</v>
      </c>
      <c r="N30">
        <v>0.52087346354770703</v>
      </c>
      <c r="O30">
        <v>0.145771904552735</v>
      </c>
      <c r="P30">
        <v>65803.699794272499</v>
      </c>
      <c r="Q30">
        <v>1135384.5504576</v>
      </c>
      <c r="R30">
        <v>16.9635410988022</v>
      </c>
      <c r="S30">
        <v>0.52058902639318105</v>
      </c>
      <c r="T30">
        <v>0.14645818586152701</v>
      </c>
      <c r="U30">
        <v>66930.869200285306</v>
      </c>
    </row>
    <row r="31" spans="1:21" x14ac:dyDescent="0.25">
      <c r="A31" t="s">
        <v>50</v>
      </c>
      <c r="B31" t="s">
        <v>43</v>
      </c>
      <c r="C31" t="s">
        <v>36</v>
      </c>
      <c r="D31" t="s">
        <v>33</v>
      </c>
      <c r="E31" t="s">
        <v>30</v>
      </c>
      <c r="F31" t="s">
        <v>65</v>
      </c>
      <c r="H31">
        <v>0.5</v>
      </c>
      <c r="I31">
        <v>4</v>
      </c>
      <c r="J31" t="s">
        <v>38</v>
      </c>
      <c r="K31" t="s">
        <v>27</v>
      </c>
      <c r="L31">
        <v>1138104.8246325001</v>
      </c>
      <c r="M31">
        <v>17.385343598451801</v>
      </c>
      <c r="N31">
        <v>0.52441533611948199</v>
      </c>
      <c r="O31">
        <v>0.14454872036896199</v>
      </c>
      <c r="P31">
        <v>65463.464566432202</v>
      </c>
      <c r="Q31">
        <v>1138026.8805412501</v>
      </c>
      <c r="R31">
        <v>17.075189035562399</v>
      </c>
      <c r="S31">
        <v>0.52430570076096195</v>
      </c>
      <c r="T31">
        <v>0.143915926457239</v>
      </c>
      <c r="U31">
        <v>66647.981358864607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743A-B937-41E3-94EA-C68EB5C63029}">
  <dimension ref="A1:U31"/>
  <sheetViews>
    <sheetView workbookViewId="0">
      <selection activeCell="J31" sqref="G2:J3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>
        <v>0.2</v>
      </c>
      <c r="J2" t="s">
        <v>26</v>
      </c>
      <c r="K2" t="s">
        <v>26</v>
      </c>
      <c r="L2">
        <v>10608.415875372</v>
      </c>
      <c r="M2">
        <v>12.7312472798339</v>
      </c>
      <c r="N2">
        <v>1.4921688857354299E-2</v>
      </c>
      <c r="O2">
        <v>0.38927223212325501</v>
      </c>
      <c r="P2">
        <v>833.25817511812795</v>
      </c>
      <c r="Q2">
        <v>10488.9478540324</v>
      </c>
      <c r="R2">
        <v>10.491726423389199</v>
      </c>
      <c r="S2">
        <v>1.4753646365075E-2</v>
      </c>
      <c r="T2">
        <v>0.45796201969146899</v>
      </c>
      <c r="U2">
        <v>999.73516566820001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28</v>
      </c>
      <c r="F3" t="s">
        <v>29</v>
      </c>
      <c r="G3">
        <v>0.3</v>
      </c>
      <c r="J3" t="s">
        <v>32</v>
      </c>
      <c r="K3" t="s">
        <v>26</v>
      </c>
      <c r="L3">
        <v>53943.755752179597</v>
      </c>
      <c r="M3">
        <v>10.554745801128099</v>
      </c>
      <c r="N3">
        <v>7.5876733019096004E-2</v>
      </c>
      <c r="O3">
        <v>0.35603847327608401</v>
      </c>
      <c r="P3">
        <v>5110.8531430869498</v>
      </c>
      <c r="Q3">
        <v>50725.383616908701</v>
      </c>
      <c r="R3">
        <v>9.2274048582693293</v>
      </c>
      <c r="S3">
        <v>7.1349803815539695E-2</v>
      </c>
      <c r="T3">
        <v>0.39146438482684898</v>
      </c>
      <c r="U3">
        <v>5497.2534960845496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30</v>
      </c>
      <c r="F4" t="s">
        <v>31</v>
      </c>
      <c r="G4">
        <v>0.4</v>
      </c>
      <c r="J4" t="s">
        <v>32</v>
      </c>
      <c r="K4" t="s">
        <v>26</v>
      </c>
      <c r="L4">
        <v>63062.210282758599</v>
      </c>
      <c r="M4">
        <v>14.0097285364218</v>
      </c>
      <c r="N4">
        <v>8.8702657545783201E-2</v>
      </c>
      <c r="O4">
        <v>0.33775977635144999</v>
      </c>
      <c r="P4">
        <v>4501.3156478237597</v>
      </c>
      <c r="Q4">
        <v>62422.215450139702</v>
      </c>
      <c r="R4">
        <v>13.311786558462</v>
      </c>
      <c r="S4">
        <v>8.7802447384827606E-2</v>
      </c>
      <c r="T4">
        <v>0.37190445351733897</v>
      </c>
      <c r="U4">
        <v>4689.2440151438104</v>
      </c>
    </row>
    <row r="5" spans="1:21" x14ac:dyDescent="0.25">
      <c r="A5" t="s">
        <v>21</v>
      </c>
      <c r="B5" t="s">
        <v>22</v>
      </c>
      <c r="C5" t="s">
        <v>23</v>
      </c>
      <c r="D5" t="s">
        <v>33</v>
      </c>
      <c r="E5" t="s">
        <v>28</v>
      </c>
      <c r="F5" t="s">
        <v>34</v>
      </c>
      <c r="G5">
        <v>0.35</v>
      </c>
      <c r="J5" t="s">
        <v>32</v>
      </c>
      <c r="K5" t="s">
        <v>26</v>
      </c>
      <c r="L5">
        <v>47485.588435072503</v>
      </c>
      <c r="M5">
        <v>14.002783619634799</v>
      </c>
      <c r="N5">
        <v>6.6792741174627801E-2</v>
      </c>
      <c r="O5">
        <v>0.36420158496274102</v>
      </c>
      <c r="P5">
        <v>3391.1534824038699</v>
      </c>
      <c r="Q5">
        <v>43622.637771477901</v>
      </c>
      <c r="R5">
        <v>12.530697096281999</v>
      </c>
      <c r="S5">
        <v>6.1359154430796599E-2</v>
      </c>
      <c r="T5">
        <v>0.396458705556955</v>
      </c>
      <c r="U5">
        <v>3481.2618512996501</v>
      </c>
    </row>
    <row r="6" spans="1:21" x14ac:dyDescent="0.25">
      <c r="A6" t="s">
        <v>21</v>
      </c>
      <c r="B6" t="s">
        <v>22</v>
      </c>
      <c r="C6" t="s">
        <v>23</v>
      </c>
      <c r="D6" t="s">
        <v>33</v>
      </c>
      <c r="E6" t="s">
        <v>30</v>
      </c>
      <c r="F6" t="s">
        <v>35</v>
      </c>
      <c r="G6">
        <v>0.55000000000000004</v>
      </c>
      <c r="J6" t="s">
        <v>32</v>
      </c>
      <c r="K6" t="s">
        <v>26</v>
      </c>
      <c r="L6">
        <v>66077.431705063194</v>
      </c>
      <c r="M6">
        <v>14.228861802849501</v>
      </c>
      <c r="N6">
        <v>9.2943837042159402E-2</v>
      </c>
      <c r="O6">
        <v>0.33005844926607802</v>
      </c>
      <c r="P6">
        <v>4643.9014322164503</v>
      </c>
      <c r="Q6">
        <v>64094.010203565202</v>
      </c>
      <c r="R6">
        <v>13.654940028615901</v>
      </c>
      <c r="S6">
        <v>9.0153976721256204E-2</v>
      </c>
      <c r="T6">
        <v>0.36710942415596998</v>
      </c>
      <c r="U6">
        <v>4693.8331526353404</v>
      </c>
    </row>
    <row r="7" spans="1:21" x14ac:dyDescent="0.25">
      <c r="A7" t="s">
        <v>21</v>
      </c>
      <c r="B7" t="s">
        <v>22</v>
      </c>
      <c r="C7" t="s">
        <v>36</v>
      </c>
      <c r="D7" t="s">
        <v>24</v>
      </c>
      <c r="E7" t="s">
        <v>24</v>
      </c>
      <c r="F7" t="s">
        <v>37</v>
      </c>
      <c r="G7">
        <v>0.3</v>
      </c>
      <c r="J7" t="s">
        <v>38</v>
      </c>
      <c r="K7" t="s">
        <v>26</v>
      </c>
      <c r="L7">
        <v>16378.234233629501</v>
      </c>
      <c r="M7">
        <v>11.792780647995301</v>
      </c>
      <c r="N7">
        <v>2.3037456123345901E-2</v>
      </c>
      <c r="O7">
        <v>0.34263282685792201</v>
      </c>
      <c r="P7">
        <v>1388.8356548388399</v>
      </c>
      <c r="Q7">
        <v>10017.1680947718</v>
      </c>
      <c r="R7">
        <v>9.1387715904310802</v>
      </c>
      <c r="S7">
        <v>1.4090045799298999E-2</v>
      </c>
      <c r="T7">
        <v>0.46631494965332299</v>
      </c>
      <c r="U7">
        <v>1096.1175684990801</v>
      </c>
    </row>
    <row r="8" spans="1:21" x14ac:dyDescent="0.25">
      <c r="A8" t="s">
        <v>21</v>
      </c>
      <c r="B8" t="s">
        <v>22</v>
      </c>
      <c r="C8" t="s">
        <v>36</v>
      </c>
      <c r="D8" t="s">
        <v>24</v>
      </c>
      <c r="E8" t="s">
        <v>28</v>
      </c>
      <c r="F8" t="s">
        <v>39</v>
      </c>
      <c r="G8">
        <v>0.15</v>
      </c>
      <c r="J8" t="s">
        <v>38</v>
      </c>
      <c r="K8" t="s">
        <v>26</v>
      </c>
      <c r="L8">
        <v>54630.9266637615</v>
      </c>
      <c r="M8">
        <v>12.8882640676183</v>
      </c>
      <c r="N8">
        <v>7.6843300568380499E-2</v>
      </c>
      <c r="O8">
        <v>0.31241985259924898</v>
      </c>
      <c r="P8">
        <v>4238.8118661396002</v>
      </c>
      <c r="Q8">
        <v>50871.262708925897</v>
      </c>
      <c r="R8">
        <v>12.6004645244375</v>
      </c>
      <c r="S8">
        <v>7.15549958486809E-2</v>
      </c>
      <c r="T8">
        <v>0.40076114891986397</v>
      </c>
      <c r="U8">
        <v>4037.2529608147001</v>
      </c>
    </row>
    <row r="9" spans="1:21" x14ac:dyDescent="0.25">
      <c r="A9" t="s">
        <v>21</v>
      </c>
      <c r="B9" t="s">
        <v>22</v>
      </c>
      <c r="C9" t="s">
        <v>36</v>
      </c>
      <c r="D9" t="s">
        <v>24</v>
      </c>
      <c r="E9" t="s">
        <v>30</v>
      </c>
      <c r="F9" t="s">
        <v>40</v>
      </c>
      <c r="G9">
        <v>0.45</v>
      </c>
      <c r="J9" t="s">
        <v>32</v>
      </c>
      <c r="K9" t="s">
        <v>26</v>
      </c>
      <c r="L9">
        <v>65829.669563333402</v>
      </c>
      <c r="M9">
        <v>14.4369983873775</v>
      </c>
      <c r="N9">
        <v>9.2595337357290697E-2</v>
      </c>
      <c r="O9">
        <v>0.32724181819965698</v>
      </c>
      <c r="P9">
        <v>4559.7892163573897</v>
      </c>
      <c r="Q9">
        <v>62144.521060657004</v>
      </c>
      <c r="R9">
        <v>14.0771759287645</v>
      </c>
      <c r="S9">
        <v>8.7411845307573593E-2</v>
      </c>
      <c r="T9">
        <v>0.364613042815296</v>
      </c>
      <c r="U9">
        <v>4414.5588131547102</v>
      </c>
    </row>
    <row r="10" spans="1:21" x14ac:dyDescent="0.25">
      <c r="A10" t="s">
        <v>21</v>
      </c>
      <c r="B10" t="s">
        <v>22</v>
      </c>
      <c r="C10" t="s">
        <v>36</v>
      </c>
      <c r="D10" t="s">
        <v>33</v>
      </c>
      <c r="E10" t="s">
        <v>28</v>
      </c>
      <c r="F10" t="s">
        <v>41</v>
      </c>
      <c r="G10">
        <v>0.35</v>
      </c>
      <c r="J10" t="s">
        <v>38</v>
      </c>
      <c r="K10" t="s">
        <v>26</v>
      </c>
      <c r="L10">
        <v>50778.431911877196</v>
      </c>
      <c r="M10">
        <v>15.8868577230187</v>
      </c>
      <c r="N10">
        <v>7.1424421002613994E-2</v>
      </c>
      <c r="O10">
        <v>0.31183574947662102</v>
      </c>
      <c r="P10">
        <v>3196.2539601713402</v>
      </c>
      <c r="Q10">
        <v>45327.198700364002</v>
      </c>
      <c r="R10">
        <v>14.290023507145101</v>
      </c>
      <c r="S10">
        <v>6.37567723332291E-2</v>
      </c>
      <c r="T10">
        <v>0.41677292672563199</v>
      </c>
      <c r="U10">
        <v>3171.9471054543601</v>
      </c>
    </row>
    <row r="11" spans="1:21" x14ac:dyDescent="0.25">
      <c r="A11" t="s">
        <v>21</v>
      </c>
      <c r="B11" t="s">
        <v>22</v>
      </c>
      <c r="C11" t="s">
        <v>36</v>
      </c>
      <c r="D11" t="s">
        <v>33</v>
      </c>
      <c r="E11" t="s">
        <v>30</v>
      </c>
      <c r="F11" t="s">
        <v>42</v>
      </c>
      <c r="G11">
        <v>0.3</v>
      </c>
      <c r="J11" t="s">
        <v>32</v>
      </c>
      <c r="K11" t="s">
        <v>26</v>
      </c>
      <c r="L11">
        <v>61905.918608010397</v>
      </c>
      <c r="M11">
        <v>14.193844693734899</v>
      </c>
      <c r="N11">
        <v>8.7076229547330006E-2</v>
      </c>
      <c r="O11">
        <v>0.33608466229136202</v>
      </c>
      <c r="P11">
        <v>4361.4623059342803</v>
      </c>
      <c r="Q11">
        <v>61235.737701158403</v>
      </c>
      <c r="R11">
        <v>13.659950891263399</v>
      </c>
      <c r="S11">
        <v>8.61335599642679E-2</v>
      </c>
      <c r="T11">
        <v>0.37303285097186001</v>
      </c>
      <c r="U11">
        <v>4482.8666068135799</v>
      </c>
    </row>
    <row r="12" spans="1:21" x14ac:dyDescent="0.25">
      <c r="A12" t="s">
        <v>21</v>
      </c>
      <c r="B12" t="s">
        <v>43</v>
      </c>
      <c r="C12" t="s">
        <v>36</v>
      </c>
      <c r="D12" t="s">
        <v>24</v>
      </c>
      <c r="E12" t="s">
        <v>24</v>
      </c>
      <c r="F12" t="s">
        <v>44</v>
      </c>
      <c r="J12" t="s">
        <v>32</v>
      </c>
      <c r="K12" t="s">
        <v>26</v>
      </c>
      <c r="L12">
        <v>37624.457130628398</v>
      </c>
      <c r="M12">
        <v>15.9864021408879</v>
      </c>
      <c r="N12">
        <v>5.2922175122627903E-2</v>
      </c>
      <c r="O12">
        <v>0.33950147448582302</v>
      </c>
      <c r="P12">
        <v>2353.5287551911001</v>
      </c>
      <c r="Q12">
        <v>42773.102945004197</v>
      </c>
      <c r="R12">
        <v>16.015126491678501</v>
      </c>
      <c r="S12">
        <v>6.0164207465759602E-2</v>
      </c>
      <c r="T12">
        <v>0.38886959702417001</v>
      </c>
      <c r="U12">
        <v>2670.7939501588799</v>
      </c>
    </row>
    <row r="13" spans="1:21" x14ac:dyDescent="0.25">
      <c r="A13" t="s">
        <v>21</v>
      </c>
      <c r="B13" t="s">
        <v>43</v>
      </c>
      <c r="C13" t="s">
        <v>36</v>
      </c>
      <c r="D13" t="s">
        <v>24</v>
      </c>
      <c r="E13" t="s">
        <v>28</v>
      </c>
      <c r="F13" t="s">
        <v>46</v>
      </c>
      <c r="J13" t="s">
        <v>32</v>
      </c>
      <c r="K13" t="s">
        <v>26</v>
      </c>
      <c r="L13">
        <v>67866.9062736747</v>
      </c>
      <c r="M13">
        <v>13.884881116433601</v>
      </c>
      <c r="N13">
        <v>9.54608935984506E-2</v>
      </c>
      <c r="O13">
        <v>0.33333752204321598</v>
      </c>
      <c r="P13">
        <v>4887.8276813871798</v>
      </c>
      <c r="Q13">
        <v>67870.318422118595</v>
      </c>
      <c r="R13">
        <v>13.5400339572644</v>
      </c>
      <c r="S13">
        <v>9.54656930914205E-2</v>
      </c>
      <c r="T13">
        <v>0.36860828872574702</v>
      </c>
      <c r="U13">
        <v>5012.5663374503602</v>
      </c>
    </row>
    <row r="14" spans="1:21" x14ac:dyDescent="0.25">
      <c r="A14" t="s">
        <v>21</v>
      </c>
      <c r="B14" t="s">
        <v>43</v>
      </c>
      <c r="C14" t="s">
        <v>36</v>
      </c>
      <c r="D14" t="s">
        <v>24</v>
      </c>
      <c r="E14" t="s">
        <v>30</v>
      </c>
      <c r="F14" t="s">
        <v>47</v>
      </c>
      <c r="J14" t="s">
        <v>32</v>
      </c>
      <c r="K14" t="s">
        <v>26</v>
      </c>
      <c r="L14">
        <v>66283.443681410194</v>
      </c>
      <c r="M14">
        <v>14.832390186464201</v>
      </c>
      <c r="N14">
        <v>9.3233611373035194E-2</v>
      </c>
      <c r="O14">
        <v>0.322644678914288</v>
      </c>
      <c r="P14">
        <v>4468.8309064239002</v>
      </c>
      <c r="Q14">
        <v>66542.617097432798</v>
      </c>
      <c r="R14">
        <v>14.437784810750401</v>
      </c>
      <c r="S14">
        <v>9.3598162039168695E-2</v>
      </c>
      <c r="T14">
        <v>0.36087142108598902</v>
      </c>
      <c r="U14">
        <v>4608.9215187557702</v>
      </c>
    </row>
    <row r="15" spans="1:21" x14ac:dyDescent="0.25">
      <c r="A15" t="s">
        <v>21</v>
      </c>
      <c r="B15" t="s">
        <v>43</v>
      </c>
      <c r="C15" t="s">
        <v>36</v>
      </c>
      <c r="D15" t="s">
        <v>33</v>
      </c>
      <c r="E15" t="s">
        <v>28</v>
      </c>
      <c r="F15" t="s">
        <v>48</v>
      </c>
      <c r="J15" t="s">
        <v>32</v>
      </c>
      <c r="K15" t="s">
        <v>26</v>
      </c>
      <c r="L15">
        <v>62747.8855294186</v>
      </c>
      <c r="M15">
        <v>13.7005795861738</v>
      </c>
      <c r="N15">
        <v>8.8260531574799003E-2</v>
      </c>
      <c r="O15">
        <v>0.34246578429556102</v>
      </c>
      <c r="P15">
        <v>4579.9438727936404</v>
      </c>
      <c r="Q15">
        <v>62314.070974214897</v>
      </c>
      <c r="R15">
        <v>13.326399747305199</v>
      </c>
      <c r="S15">
        <v>8.7650332475273707E-2</v>
      </c>
      <c r="T15">
        <v>0.37409797837200398</v>
      </c>
      <c r="U15">
        <v>4675.9869248868499</v>
      </c>
    </row>
    <row r="16" spans="1:21" x14ac:dyDescent="0.25">
      <c r="A16" t="s">
        <v>21</v>
      </c>
      <c r="B16" t="s">
        <v>43</v>
      </c>
      <c r="C16" t="s">
        <v>36</v>
      </c>
      <c r="D16" t="s">
        <v>33</v>
      </c>
      <c r="E16" t="s">
        <v>30</v>
      </c>
      <c r="F16" t="s">
        <v>49</v>
      </c>
      <c r="J16" t="s">
        <v>32</v>
      </c>
      <c r="K16" t="s">
        <v>26</v>
      </c>
      <c r="L16">
        <v>66254.579459558998</v>
      </c>
      <c r="M16">
        <v>14.598428104277399</v>
      </c>
      <c r="N16">
        <v>9.3193011254918301E-2</v>
      </c>
      <c r="O16">
        <v>0.32387740118594799</v>
      </c>
      <c r="P16">
        <v>4538.4735251150596</v>
      </c>
      <c r="Q16">
        <v>68190.440363490605</v>
      </c>
      <c r="R16">
        <v>13.972592886696001</v>
      </c>
      <c r="S16">
        <v>9.5915973327572804E-2</v>
      </c>
      <c r="T16">
        <v>0.361176413054277</v>
      </c>
      <c r="U16">
        <v>4880.2996635232903</v>
      </c>
    </row>
    <row r="17" spans="1:21" x14ac:dyDescent="0.25">
      <c r="A17" t="s">
        <v>50</v>
      </c>
      <c r="B17" t="s">
        <v>22</v>
      </c>
      <c r="C17" t="s">
        <v>23</v>
      </c>
      <c r="D17" t="s">
        <v>24</v>
      </c>
      <c r="E17" t="s">
        <v>24</v>
      </c>
      <c r="F17" t="s">
        <v>51</v>
      </c>
      <c r="G17">
        <v>0.45</v>
      </c>
      <c r="J17" t="s">
        <v>26</v>
      </c>
      <c r="K17" t="s">
        <v>26</v>
      </c>
      <c r="L17">
        <v>1099118.84646108</v>
      </c>
      <c r="M17">
        <v>15.7365539842953</v>
      </c>
      <c r="N17">
        <v>0.46957805947915299</v>
      </c>
      <c r="O17">
        <v>0.14064314971787001</v>
      </c>
      <c r="P17">
        <v>69844.951287173797</v>
      </c>
      <c r="Q17">
        <v>1096464.5100171799</v>
      </c>
      <c r="R17">
        <v>15.6505095065822</v>
      </c>
      <c r="S17">
        <v>0.46584449708831599</v>
      </c>
      <c r="T17">
        <v>0.139756936915958</v>
      </c>
      <c r="U17">
        <v>70059.349157676901</v>
      </c>
    </row>
    <row r="18" spans="1:21" x14ac:dyDescent="0.25">
      <c r="A18" t="s">
        <v>50</v>
      </c>
      <c r="B18" t="s">
        <v>22</v>
      </c>
      <c r="C18" t="s">
        <v>23</v>
      </c>
      <c r="D18" t="s">
        <v>24</v>
      </c>
      <c r="E18" t="s">
        <v>28</v>
      </c>
      <c r="F18" t="s">
        <v>52</v>
      </c>
      <c r="G18">
        <v>0.45</v>
      </c>
      <c r="J18" t="s">
        <v>26</v>
      </c>
      <c r="K18" t="s">
        <v>26</v>
      </c>
      <c r="L18">
        <v>1123664.0962704699</v>
      </c>
      <c r="M18">
        <v>17.0024001666857</v>
      </c>
      <c r="N18">
        <v>0.50410315586342402</v>
      </c>
      <c r="O18">
        <v>0.14483970521966899</v>
      </c>
      <c r="P18">
        <v>66088.5572186543</v>
      </c>
      <c r="Q18">
        <v>1116298.9279609499</v>
      </c>
      <c r="R18">
        <v>16.5847002485113</v>
      </c>
      <c r="S18">
        <v>0.49374338573490301</v>
      </c>
      <c r="T18">
        <v>0.14473080145984901</v>
      </c>
      <c r="U18">
        <v>67308.960140003794</v>
      </c>
    </row>
    <row r="19" spans="1:21" x14ac:dyDescent="0.25">
      <c r="A19" t="s">
        <v>50</v>
      </c>
      <c r="B19" t="s">
        <v>22</v>
      </c>
      <c r="C19" t="s">
        <v>23</v>
      </c>
      <c r="D19" t="s">
        <v>24</v>
      </c>
      <c r="E19" t="s">
        <v>30</v>
      </c>
      <c r="F19" t="s">
        <v>53</v>
      </c>
      <c r="G19">
        <v>0.5</v>
      </c>
      <c r="J19" t="s">
        <v>38</v>
      </c>
      <c r="K19" t="s">
        <v>26</v>
      </c>
      <c r="L19">
        <v>1130303.4826605101</v>
      </c>
      <c r="M19">
        <v>16.963401613349902</v>
      </c>
      <c r="N19">
        <v>0.51344204859537501</v>
      </c>
      <c r="O19">
        <v>0.14015136410892501</v>
      </c>
      <c r="P19">
        <v>66631.888369074804</v>
      </c>
      <c r="Q19">
        <v>1128478.3960186001</v>
      </c>
      <c r="R19">
        <v>16.5055131612684</v>
      </c>
      <c r="S19">
        <v>0.51087490046239004</v>
      </c>
      <c r="T19">
        <v>0.14021308566577101</v>
      </c>
      <c r="U19">
        <v>68369.785597861395</v>
      </c>
    </row>
    <row r="20" spans="1:21" x14ac:dyDescent="0.25">
      <c r="A20" t="s">
        <v>50</v>
      </c>
      <c r="B20" t="s">
        <v>22</v>
      </c>
      <c r="C20" t="s">
        <v>23</v>
      </c>
      <c r="D20" t="s">
        <v>33</v>
      </c>
      <c r="E20" t="s">
        <v>28</v>
      </c>
      <c r="F20" t="s">
        <v>54</v>
      </c>
      <c r="G20">
        <v>0.45</v>
      </c>
      <c r="J20" t="s">
        <v>38</v>
      </c>
      <c r="K20" t="s">
        <v>26</v>
      </c>
      <c r="L20">
        <v>1125758.47219545</v>
      </c>
      <c r="M20">
        <v>17.0769695090525</v>
      </c>
      <c r="N20">
        <v>0.50704908353727196</v>
      </c>
      <c r="O20">
        <v>0.14682144944185199</v>
      </c>
      <c r="P20">
        <v>65922.6141733572</v>
      </c>
      <c r="Q20">
        <v>1124243.4673906199</v>
      </c>
      <c r="R20">
        <v>16.744021735642601</v>
      </c>
      <c r="S20">
        <v>0.50491809333283</v>
      </c>
      <c r="T20">
        <v>0.14547180529333401</v>
      </c>
      <c r="U20">
        <v>67142.977066105406</v>
      </c>
    </row>
    <row r="21" spans="1:21" x14ac:dyDescent="0.25">
      <c r="A21" t="s">
        <v>50</v>
      </c>
      <c r="B21" t="s">
        <v>22</v>
      </c>
      <c r="C21" t="s">
        <v>23</v>
      </c>
      <c r="D21" t="s">
        <v>33</v>
      </c>
      <c r="E21" t="s">
        <v>30</v>
      </c>
      <c r="F21" t="s">
        <v>55</v>
      </c>
      <c r="G21">
        <v>0.65</v>
      </c>
      <c r="J21" t="s">
        <v>38</v>
      </c>
      <c r="K21" t="s">
        <v>26</v>
      </c>
      <c r="L21">
        <v>1134488.6811812399</v>
      </c>
      <c r="M21">
        <v>17.075345524454999</v>
      </c>
      <c r="N21">
        <v>0.51932890586663405</v>
      </c>
      <c r="O21">
        <v>0.141333500568287</v>
      </c>
      <c r="P21">
        <v>66440.159559666994</v>
      </c>
      <c r="Q21">
        <v>1132381.19953667</v>
      </c>
      <c r="R21">
        <v>16.641340452824</v>
      </c>
      <c r="S21">
        <v>0.516364543822177</v>
      </c>
      <c r="T21">
        <v>0.14104701630469499</v>
      </c>
      <c r="U21">
        <v>68046.2732402369</v>
      </c>
    </row>
    <row r="22" spans="1:21" x14ac:dyDescent="0.25">
      <c r="A22" t="s">
        <v>50</v>
      </c>
      <c r="B22" t="s">
        <v>22</v>
      </c>
      <c r="C22" t="s">
        <v>36</v>
      </c>
      <c r="D22" t="s">
        <v>24</v>
      </c>
      <c r="E22" t="s">
        <v>24</v>
      </c>
      <c r="F22" t="s">
        <v>56</v>
      </c>
      <c r="G22">
        <v>0.25</v>
      </c>
      <c r="J22" t="s">
        <v>38</v>
      </c>
      <c r="K22" t="s">
        <v>26</v>
      </c>
      <c r="L22">
        <v>1114809.9065916699</v>
      </c>
      <c r="M22">
        <v>16.891219441544301</v>
      </c>
      <c r="N22">
        <v>0.49164894356413003</v>
      </c>
      <c r="O22">
        <v>0.147889645217711</v>
      </c>
      <c r="P22">
        <v>65999.373843298003</v>
      </c>
      <c r="Q22">
        <v>1099823.65425925</v>
      </c>
      <c r="R22">
        <v>16.485325795269901</v>
      </c>
      <c r="S22">
        <v>0.47056943489202901</v>
      </c>
      <c r="T22">
        <v>0.14564471946813001</v>
      </c>
      <c r="U22">
        <v>66715.312024638202</v>
      </c>
    </row>
    <row r="23" spans="1:21" x14ac:dyDescent="0.25">
      <c r="A23" t="s">
        <v>50</v>
      </c>
      <c r="B23" t="s">
        <v>22</v>
      </c>
      <c r="C23" t="s">
        <v>36</v>
      </c>
      <c r="D23" t="s">
        <v>24</v>
      </c>
      <c r="E23" t="s">
        <v>28</v>
      </c>
      <c r="F23" t="s">
        <v>57</v>
      </c>
      <c r="G23">
        <v>0.1</v>
      </c>
      <c r="J23" t="s">
        <v>26</v>
      </c>
      <c r="K23" t="s">
        <v>26</v>
      </c>
      <c r="L23">
        <v>1127845.15689561</v>
      </c>
      <c r="M23">
        <v>16.735773545991702</v>
      </c>
      <c r="N23">
        <v>0.50998419281325003</v>
      </c>
      <c r="O23">
        <v>0.14077959120198899</v>
      </c>
      <c r="P23">
        <v>67391.277361406203</v>
      </c>
      <c r="Q23">
        <v>1118952.0954529401</v>
      </c>
      <c r="R23">
        <v>16.4182366648959</v>
      </c>
      <c r="S23">
        <v>0.49747530388997602</v>
      </c>
      <c r="T23">
        <v>0.14064621371076999</v>
      </c>
      <c r="U23">
        <v>68153.000732739296</v>
      </c>
    </row>
    <row r="24" spans="1:21" x14ac:dyDescent="0.25">
      <c r="A24" t="s">
        <v>50</v>
      </c>
      <c r="B24" t="s">
        <v>22</v>
      </c>
      <c r="C24" t="s">
        <v>36</v>
      </c>
      <c r="D24" t="s">
        <v>24</v>
      </c>
      <c r="E24" t="s">
        <v>30</v>
      </c>
      <c r="F24" t="s">
        <v>58</v>
      </c>
      <c r="G24">
        <v>0.25</v>
      </c>
      <c r="J24" t="s">
        <v>38</v>
      </c>
      <c r="K24" t="s">
        <v>26</v>
      </c>
      <c r="L24">
        <v>1132728.60846457</v>
      </c>
      <c r="M24">
        <v>17.082438035314102</v>
      </c>
      <c r="N24">
        <v>0.51685320565342696</v>
      </c>
      <c r="O24">
        <v>0.14065258356971999</v>
      </c>
      <c r="P24">
        <v>66309.540015477003</v>
      </c>
      <c r="Q24">
        <v>1130103.6220798001</v>
      </c>
      <c r="R24">
        <v>16.5752200418763</v>
      </c>
      <c r="S24">
        <v>0.51316092675443703</v>
      </c>
      <c r="T24">
        <v>0.140368278076585</v>
      </c>
      <c r="U24">
        <v>68180.308872199297</v>
      </c>
    </row>
    <row r="25" spans="1:21" x14ac:dyDescent="0.25">
      <c r="A25" t="s">
        <v>50</v>
      </c>
      <c r="B25" t="s">
        <v>22</v>
      </c>
      <c r="C25" t="s">
        <v>36</v>
      </c>
      <c r="D25" t="s">
        <v>33</v>
      </c>
      <c r="E25" t="s">
        <v>28</v>
      </c>
      <c r="F25" t="s">
        <v>59</v>
      </c>
      <c r="G25">
        <v>0.35</v>
      </c>
      <c r="J25" t="s">
        <v>38</v>
      </c>
      <c r="K25" t="s">
        <v>26</v>
      </c>
      <c r="L25">
        <v>1131538.90667265</v>
      </c>
      <c r="M25">
        <v>16.996926021370001</v>
      </c>
      <c r="N25">
        <v>0.51517978332717995</v>
      </c>
      <c r="O25">
        <v>0.14363805324361301</v>
      </c>
      <c r="P25">
        <v>66573.150065487396</v>
      </c>
      <c r="Q25">
        <v>1125657.4314002199</v>
      </c>
      <c r="R25">
        <v>16.520351950039501</v>
      </c>
      <c r="S25">
        <v>0.50690696059205298</v>
      </c>
      <c r="T25">
        <v>0.143675230700444</v>
      </c>
      <c r="U25">
        <v>68137.618060705601</v>
      </c>
    </row>
    <row r="26" spans="1:21" x14ac:dyDescent="0.25">
      <c r="A26" t="s">
        <v>50</v>
      </c>
      <c r="B26" t="s">
        <v>22</v>
      </c>
      <c r="C26" t="s">
        <v>36</v>
      </c>
      <c r="D26" t="s">
        <v>33</v>
      </c>
      <c r="E26" t="s">
        <v>30</v>
      </c>
      <c r="F26" t="s">
        <v>60</v>
      </c>
      <c r="G26">
        <v>0.25</v>
      </c>
      <c r="J26" t="s">
        <v>38</v>
      </c>
      <c r="K26" t="s">
        <v>26</v>
      </c>
      <c r="L26">
        <v>1133382.9569941</v>
      </c>
      <c r="M26">
        <v>17.0704173727046</v>
      </c>
      <c r="N26">
        <v>0.51777360557709995</v>
      </c>
      <c r="O26">
        <v>0.14105850502852099</v>
      </c>
      <c r="P26">
        <v>66394.566239860593</v>
      </c>
      <c r="Q26">
        <v>1130979.59049171</v>
      </c>
      <c r="R26">
        <v>16.683230148895198</v>
      </c>
      <c r="S26">
        <v>0.51439305492936804</v>
      </c>
      <c r="T26">
        <v>0.14098402576334701</v>
      </c>
      <c r="U26">
        <v>67791.403726849807</v>
      </c>
    </row>
    <row r="27" spans="1:21" x14ac:dyDescent="0.25">
      <c r="A27" t="s">
        <v>50</v>
      </c>
      <c r="B27" t="s">
        <v>43</v>
      </c>
      <c r="C27" t="s">
        <v>36</v>
      </c>
      <c r="D27" t="s">
        <v>24</v>
      </c>
      <c r="E27" t="s">
        <v>24</v>
      </c>
      <c r="F27" t="s">
        <v>61</v>
      </c>
      <c r="J27" t="s">
        <v>38</v>
      </c>
      <c r="K27" t="s">
        <v>26</v>
      </c>
      <c r="L27">
        <v>1128197.70129773</v>
      </c>
      <c r="M27">
        <v>17.0926565787348</v>
      </c>
      <c r="N27">
        <v>0.510480078149807</v>
      </c>
      <c r="O27">
        <v>0.14789343112241399</v>
      </c>
      <c r="P27">
        <v>66004.818858955696</v>
      </c>
      <c r="Q27">
        <v>1126817.4016301199</v>
      </c>
      <c r="R27">
        <v>16.823749290839299</v>
      </c>
      <c r="S27">
        <v>0.50853856280841403</v>
      </c>
      <c r="T27">
        <v>0.14667963931426301</v>
      </c>
      <c r="U27">
        <v>66977.781358384906</v>
      </c>
    </row>
    <row r="28" spans="1:21" x14ac:dyDescent="0.25">
      <c r="A28" t="s">
        <v>50</v>
      </c>
      <c r="B28" t="s">
        <v>43</v>
      </c>
      <c r="C28" t="s">
        <v>36</v>
      </c>
      <c r="D28" t="s">
        <v>24</v>
      </c>
      <c r="E28" t="s">
        <v>28</v>
      </c>
      <c r="F28" t="s">
        <v>62</v>
      </c>
      <c r="J28" t="s">
        <v>38</v>
      </c>
      <c r="K28" t="s">
        <v>26</v>
      </c>
      <c r="L28">
        <v>1137928.5468478999</v>
      </c>
      <c r="M28">
        <v>17.366880808037902</v>
      </c>
      <c r="N28">
        <v>0.52416738559745002</v>
      </c>
      <c r="O28">
        <v>0.145444286408762</v>
      </c>
      <c r="P28">
        <v>65522.908772497103</v>
      </c>
      <c r="Q28">
        <v>1138229.86214269</v>
      </c>
      <c r="R28">
        <v>16.948829301457401</v>
      </c>
      <c r="S28">
        <v>0.52459121259760699</v>
      </c>
      <c r="T28">
        <v>0.14561180627727</v>
      </c>
      <c r="U28">
        <v>67156.842628937302</v>
      </c>
    </row>
    <row r="29" spans="1:21" x14ac:dyDescent="0.25">
      <c r="A29" t="s">
        <v>50</v>
      </c>
      <c r="B29" t="s">
        <v>43</v>
      </c>
      <c r="C29" t="s">
        <v>36</v>
      </c>
      <c r="D29" t="s">
        <v>24</v>
      </c>
      <c r="E29" t="s">
        <v>30</v>
      </c>
      <c r="F29" t="s">
        <v>63</v>
      </c>
      <c r="J29" t="s">
        <v>38</v>
      </c>
      <c r="K29" t="s">
        <v>26</v>
      </c>
      <c r="L29">
        <v>1137114.9336204401</v>
      </c>
      <c r="M29">
        <v>17.453443041680099</v>
      </c>
      <c r="N29">
        <v>0.523022965584796</v>
      </c>
      <c r="O29">
        <v>0.14385897817412899</v>
      </c>
      <c r="P29">
        <v>65151.324635771402</v>
      </c>
      <c r="Q29">
        <v>1137386.5286859199</v>
      </c>
      <c r="R29">
        <v>17.0157312459807</v>
      </c>
      <c r="S29">
        <v>0.52340498841552396</v>
      </c>
      <c r="T29">
        <v>0.14337107647884101</v>
      </c>
      <c r="U29">
        <v>66843.235371067902</v>
      </c>
    </row>
    <row r="30" spans="1:21" x14ac:dyDescent="0.25">
      <c r="A30" t="s">
        <v>50</v>
      </c>
      <c r="B30" t="s">
        <v>43</v>
      </c>
      <c r="C30" t="s">
        <v>36</v>
      </c>
      <c r="D30" t="s">
        <v>33</v>
      </c>
      <c r="E30" t="s">
        <v>28</v>
      </c>
      <c r="F30" t="s">
        <v>64</v>
      </c>
      <c r="J30" t="s">
        <v>38</v>
      </c>
      <c r="K30" t="s">
        <v>26</v>
      </c>
      <c r="L30">
        <v>1134258.1401500599</v>
      </c>
      <c r="M30">
        <v>17.366299206245699</v>
      </c>
      <c r="N30">
        <v>0.51900462921906598</v>
      </c>
      <c r="O30">
        <v>0.146210317842382</v>
      </c>
      <c r="P30">
        <v>65313.750884939698</v>
      </c>
      <c r="Q30">
        <v>1135384.5504576</v>
      </c>
      <c r="R30">
        <v>16.9635410988022</v>
      </c>
      <c r="S30">
        <v>0.52058902639318105</v>
      </c>
      <c r="T30">
        <v>0.14645818586152701</v>
      </c>
      <c r="U30">
        <v>66930.869200285306</v>
      </c>
    </row>
    <row r="31" spans="1:21" x14ac:dyDescent="0.25">
      <c r="A31" t="s">
        <v>50</v>
      </c>
      <c r="B31" t="s">
        <v>43</v>
      </c>
      <c r="C31" t="s">
        <v>36</v>
      </c>
      <c r="D31" t="s">
        <v>33</v>
      </c>
      <c r="E31" t="s">
        <v>30</v>
      </c>
      <c r="F31" t="s">
        <v>65</v>
      </c>
      <c r="J31" t="s">
        <v>38</v>
      </c>
      <c r="K31" t="s">
        <v>26</v>
      </c>
      <c r="L31">
        <v>1136682.0988757</v>
      </c>
      <c r="M31">
        <v>17.517246695154501</v>
      </c>
      <c r="N31">
        <v>0.52241414467659897</v>
      </c>
      <c r="O31">
        <v>0.14442688088698</v>
      </c>
      <c r="P31">
        <v>64889.312724591502</v>
      </c>
      <c r="Q31">
        <v>1138026.8805412501</v>
      </c>
      <c r="R31">
        <v>17.075189035562399</v>
      </c>
      <c r="S31">
        <v>0.52430570076096195</v>
      </c>
      <c r="T31">
        <v>0.143915926457239</v>
      </c>
      <c r="U31">
        <v>66647.981358864607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4614-F59E-4349-BC25-AD331256414C}">
  <dimension ref="A1:U31"/>
  <sheetViews>
    <sheetView workbookViewId="0">
      <selection activeCell="G2" sqref="G2:G31"/>
    </sheetView>
  </sheetViews>
  <sheetFormatPr defaultRowHeight="15" x14ac:dyDescent="0.25"/>
  <cols>
    <col min="17" max="17" width="20.85546875" customWidth="1"/>
    <col min="18" max="18" width="16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>
        <v>0.35</v>
      </c>
      <c r="J2" t="s">
        <v>26</v>
      </c>
      <c r="K2" t="s">
        <v>26</v>
      </c>
      <c r="L2">
        <v>7084.92458561079</v>
      </c>
      <c r="M2">
        <v>8.5371249384829309</v>
      </c>
      <c r="N2">
        <v>9.9655821836450009E-3</v>
      </c>
      <c r="O2">
        <v>0.65309801312376503</v>
      </c>
      <c r="P2">
        <v>829.89585330700299</v>
      </c>
      <c r="Q2">
        <v>10387.610800455999</v>
      </c>
      <c r="R2">
        <v>17.666164795517499</v>
      </c>
      <c r="S2">
        <v>1.4611106705907E-2</v>
      </c>
      <c r="T2">
        <v>0.45186232498020501</v>
      </c>
      <c r="U2">
        <v>587.99467347274503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28</v>
      </c>
      <c r="F3" t="s">
        <v>29</v>
      </c>
      <c r="G3">
        <v>0.3</v>
      </c>
      <c r="J3" t="s">
        <v>26</v>
      </c>
      <c r="K3" t="s">
        <v>26</v>
      </c>
      <c r="L3">
        <v>48810.036207294899</v>
      </c>
      <c r="M3">
        <v>12.4387513133433</v>
      </c>
      <c r="N3">
        <v>6.8655695813387596E-2</v>
      </c>
      <c r="O3">
        <v>0.326333531068903</v>
      </c>
      <c r="P3">
        <v>3924.0302324345998</v>
      </c>
      <c r="Q3">
        <v>50725.383616908701</v>
      </c>
      <c r="R3">
        <v>9.2274048582693293</v>
      </c>
      <c r="S3">
        <v>7.1349803815539695E-2</v>
      </c>
      <c r="T3">
        <v>0.39146438482684898</v>
      </c>
      <c r="U3">
        <v>5497.2534960845496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30</v>
      </c>
      <c r="F4" t="s">
        <v>31</v>
      </c>
      <c r="G4">
        <v>0.35</v>
      </c>
      <c r="J4" t="s">
        <v>26</v>
      </c>
      <c r="K4" t="s">
        <v>26</v>
      </c>
      <c r="L4">
        <v>57683.553997677998</v>
      </c>
      <c r="M4">
        <v>13.9886504540045</v>
      </c>
      <c r="N4">
        <v>8.1137094835996307E-2</v>
      </c>
      <c r="O4">
        <v>0.30197464415403102</v>
      </c>
      <c r="P4">
        <v>4123.5967820730402</v>
      </c>
      <c r="Q4">
        <v>61242.283050484897</v>
      </c>
      <c r="R4">
        <v>13.834559579091399</v>
      </c>
      <c r="S4">
        <v>8.6142766585431796E-2</v>
      </c>
      <c r="T4">
        <v>0.37252975404308802</v>
      </c>
      <c r="U4">
        <v>4426.76058463343</v>
      </c>
    </row>
    <row r="5" spans="1:21" x14ac:dyDescent="0.25">
      <c r="A5" t="s">
        <v>21</v>
      </c>
      <c r="B5" t="s">
        <v>22</v>
      </c>
      <c r="C5" t="s">
        <v>23</v>
      </c>
      <c r="D5" t="s">
        <v>33</v>
      </c>
      <c r="E5" t="s">
        <v>28</v>
      </c>
      <c r="F5" t="s">
        <v>34</v>
      </c>
      <c r="G5">
        <v>0.45</v>
      </c>
      <c r="J5" t="s">
        <v>26</v>
      </c>
      <c r="K5" t="s">
        <v>26</v>
      </c>
      <c r="L5">
        <v>44827.707449188099</v>
      </c>
      <c r="M5">
        <v>12.5587546789746</v>
      </c>
      <c r="N5">
        <v>6.3054193067429404E-2</v>
      </c>
      <c r="O5">
        <v>0.33667717212068099</v>
      </c>
      <c r="P5">
        <v>3569.4388970139598</v>
      </c>
      <c r="Q5">
        <v>46221.152955559803</v>
      </c>
      <c r="R5">
        <v>12.548508760318599</v>
      </c>
      <c r="S5">
        <v>6.5014199210667797E-2</v>
      </c>
      <c r="T5">
        <v>0.394175229711071</v>
      </c>
      <c r="U5">
        <v>3683.3980705119302</v>
      </c>
    </row>
    <row r="6" spans="1:21" x14ac:dyDescent="0.25">
      <c r="A6" t="s">
        <v>21</v>
      </c>
      <c r="B6" t="s">
        <v>22</v>
      </c>
      <c r="C6" t="s">
        <v>23</v>
      </c>
      <c r="D6" t="s">
        <v>33</v>
      </c>
      <c r="E6" t="s">
        <v>30</v>
      </c>
      <c r="F6" t="s">
        <v>35</v>
      </c>
      <c r="G6">
        <v>0.55000000000000004</v>
      </c>
      <c r="J6" t="s">
        <v>26</v>
      </c>
      <c r="K6" t="s">
        <v>26</v>
      </c>
      <c r="L6">
        <v>59475.939381839598</v>
      </c>
      <c r="M6">
        <v>13.831968930175799</v>
      </c>
      <c r="N6">
        <v>8.3658245715555996E-2</v>
      </c>
      <c r="O6">
        <v>0.29845997305940097</v>
      </c>
      <c r="P6">
        <v>4299.88960227395</v>
      </c>
      <c r="Q6">
        <v>64094.010203565202</v>
      </c>
      <c r="R6">
        <v>13.654940028615901</v>
      </c>
      <c r="S6">
        <v>9.0153976721256204E-2</v>
      </c>
      <c r="T6">
        <v>0.36710942415596998</v>
      </c>
      <c r="U6">
        <v>4693.8331526353404</v>
      </c>
    </row>
    <row r="7" spans="1:21" x14ac:dyDescent="0.25">
      <c r="A7" t="s">
        <v>21</v>
      </c>
      <c r="B7" t="s">
        <v>22</v>
      </c>
      <c r="C7" t="s">
        <v>36</v>
      </c>
      <c r="D7" t="s">
        <v>24</v>
      </c>
      <c r="E7" t="s">
        <v>24</v>
      </c>
      <c r="F7" t="s">
        <v>37</v>
      </c>
      <c r="G7">
        <v>0.55000000000000004</v>
      </c>
      <c r="J7" t="s">
        <v>26</v>
      </c>
      <c r="K7" t="s">
        <v>26</v>
      </c>
      <c r="L7">
        <v>6927.01978102664</v>
      </c>
      <c r="M7">
        <v>12.852612659824</v>
      </c>
      <c r="N7">
        <v>9.7434749066710007E-3</v>
      </c>
      <c r="O7">
        <v>0.39309547108521598</v>
      </c>
      <c r="P7">
        <v>538.95810636850399</v>
      </c>
      <c r="Q7">
        <v>6120.0580620436403</v>
      </c>
      <c r="R7">
        <v>15.167684856707</v>
      </c>
      <c r="S7">
        <v>8.6084108375469991E-3</v>
      </c>
      <c r="T7">
        <v>0.46016741432798203</v>
      </c>
      <c r="U7">
        <v>403.49322390736398</v>
      </c>
    </row>
    <row r="8" spans="1:21" x14ac:dyDescent="0.25">
      <c r="A8" t="s">
        <v>21</v>
      </c>
      <c r="B8" t="s">
        <v>22</v>
      </c>
      <c r="C8" t="s">
        <v>36</v>
      </c>
      <c r="D8" t="s">
        <v>24</v>
      </c>
      <c r="E8" t="s">
        <v>28</v>
      </c>
      <c r="F8" t="s">
        <v>39</v>
      </c>
      <c r="G8">
        <v>0.45</v>
      </c>
      <c r="J8" t="s">
        <v>26</v>
      </c>
      <c r="K8" t="s">
        <v>26</v>
      </c>
      <c r="L8">
        <v>46439.170069235297</v>
      </c>
      <c r="M8">
        <v>13.7832251961006</v>
      </c>
      <c r="N8">
        <v>6.5320859844457305E-2</v>
      </c>
      <c r="O8">
        <v>0.325051226031217</v>
      </c>
      <c r="P8">
        <v>3369.2527988567799</v>
      </c>
      <c r="Q8">
        <v>51465.360558791697</v>
      </c>
      <c r="R8">
        <v>13.761375336962899</v>
      </c>
      <c r="S8">
        <v>7.2390647784904602E-2</v>
      </c>
      <c r="T8">
        <v>0.39131842628303098</v>
      </c>
      <c r="U8">
        <v>3739.8413529610102</v>
      </c>
    </row>
    <row r="9" spans="1:21" x14ac:dyDescent="0.25">
      <c r="A9" t="s">
        <v>21</v>
      </c>
      <c r="B9" t="s">
        <v>22</v>
      </c>
      <c r="C9" t="s">
        <v>36</v>
      </c>
      <c r="D9" t="s">
        <v>24</v>
      </c>
      <c r="E9" t="s">
        <v>30</v>
      </c>
      <c r="F9" t="s">
        <v>40</v>
      </c>
      <c r="G9">
        <v>0.45</v>
      </c>
      <c r="J9" t="s">
        <v>26</v>
      </c>
      <c r="K9" t="s">
        <v>26</v>
      </c>
      <c r="L9">
        <v>58485.020649738297</v>
      </c>
      <c r="M9">
        <v>13.939464155722</v>
      </c>
      <c r="N9">
        <v>8.2264429600402894E-2</v>
      </c>
      <c r="O9">
        <v>0.29952472155278997</v>
      </c>
      <c r="P9">
        <v>4195.6433903329598</v>
      </c>
      <c r="Q9">
        <v>62144.521060657004</v>
      </c>
      <c r="R9">
        <v>14.0771759287645</v>
      </c>
      <c r="S9">
        <v>8.7411845307573593E-2</v>
      </c>
      <c r="T9">
        <v>0.364613042815296</v>
      </c>
      <c r="U9">
        <v>4414.5588131547102</v>
      </c>
    </row>
    <row r="10" spans="1:21" x14ac:dyDescent="0.25">
      <c r="A10" t="s">
        <v>21</v>
      </c>
      <c r="B10" t="s">
        <v>22</v>
      </c>
      <c r="C10" t="s">
        <v>36</v>
      </c>
      <c r="D10" t="s">
        <v>33</v>
      </c>
      <c r="E10" t="s">
        <v>28</v>
      </c>
      <c r="F10" t="s">
        <v>41</v>
      </c>
      <c r="G10">
        <v>0.25</v>
      </c>
      <c r="J10" t="s">
        <v>26</v>
      </c>
      <c r="K10" t="s">
        <v>26</v>
      </c>
      <c r="L10">
        <v>49936.993453277901</v>
      </c>
      <c r="M10">
        <v>11.188453610414101</v>
      </c>
      <c r="N10">
        <v>7.0240862305506302E-2</v>
      </c>
      <c r="O10">
        <v>0.31896215550770002</v>
      </c>
      <c r="P10">
        <v>4463.2614293361003</v>
      </c>
      <c r="Q10">
        <v>46422.185180031804</v>
      </c>
      <c r="R10">
        <v>14.5716870461474</v>
      </c>
      <c r="S10">
        <v>6.5296969073681599E-2</v>
      </c>
      <c r="T10">
        <v>0.414116335887524</v>
      </c>
      <c r="U10">
        <v>3185.7797270155602</v>
      </c>
    </row>
    <row r="11" spans="1:21" x14ac:dyDescent="0.25">
      <c r="A11" t="s">
        <v>21</v>
      </c>
      <c r="B11" t="s">
        <v>22</v>
      </c>
      <c r="C11" t="s">
        <v>36</v>
      </c>
      <c r="D11" t="s">
        <v>33</v>
      </c>
      <c r="E11" t="s">
        <v>30</v>
      </c>
      <c r="F11" t="s">
        <v>42</v>
      </c>
      <c r="G11">
        <v>0.3</v>
      </c>
      <c r="J11" t="s">
        <v>26</v>
      </c>
      <c r="K11" t="s">
        <v>26</v>
      </c>
      <c r="L11">
        <v>59299.507928996798</v>
      </c>
      <c r="M11">
        <v>13.730120314702599</v>
      </c>
      <c r="N11">
        <v>8.3410079045348098E-2</v>
      </c>
      <c r="O11">
        <v>0.30429151901485102</v>
      </c>
      <c r="P11">
        <v>4318.9357827765598</v>
      </c>
      <c r="Q11">
        <v>61235.737701158403</v>
      </c>
      <c r="R11">
        <v>13.659950891263399</v>
      </c>
      <c r="S11">
        <v>8.61335599642679E-2</v>
      </c>
      <c r="T11">
        <v>0.37303285097186001</v>
      </c>
      <c r="U11">
        <v>4482.8666068135799</v>
      </c>
    </row>
    <row r="12" spans="1:21" x14ac:dyDescent="0.25">
      <c r="A12" t="s">
        <v>21</v>
      </c>
      <c r="B12" t="s">
        <v>43</v>
      </c>
      <c r="C12" t="s">
        <v>36</v>
      </c>
      <c r="D12" t="s">
        <v>24</v>
      </c>
      <c r="E12" t="s">
        <v>24</v>
      </c>
      <c r="F12" t="s">
        <v>44</v>
      </c>
      <c r="J12" t="s">
        <v>26</v>
      </c>
      <c r="K12" t="s">
        <v>26</v>
      </c>
      <c r="L12">
        <v>33147.907020469698</v>
      </c>
      <c r="M12">
        <v>13.543739317742601</v>
      </c>
      <c r="N12">
        <v>4.66255056968733E-2</v>
      </c>
      <c r="O12">
        <v>0.31965390553737499</v>
      </c>
      <c r="P12">
        <v>2447.4708382082499</v>
      </c>
      <c r="Q12">
        <v>42773.102945004197</v>
      </c>
      <c r="R12">
        <v>16.015126491678501</v>
      </c>
      <c r="S12">
        <v>6.0164207465759602E-2</v>
      </c>
      <c r="T12">
        <v>0.38886959702417001</v>
      </c>
      <c r="U12">
        <v>2670.7939501588799</v>
      </c>
    </row>
    <row r="13" spans="1:21" x14ac:dyDescent="0.25">
      <c r="A13" t="s">
        <v>21</v>
      </c>
      <c r="B13" t="s">
        <v>43</v>
      </c>
      <c r="C13" t="s">
        <v>36</v>
      </c>
      <c r="D13" t="s">
        <v>24</v>
      </c>
      <c r="E13" t="s">
        <v>28</v>
      </c>
      <c r="F13" t="s">
        <v>46</v>
      </c>
      <c r="J13" t="s">
        <v>26</v>
      </c>
      <c r="K13" t="s">
        <v>26</v>
      </c>
      <c r="L13">
        <v>58230.810180969696</v>
      </c>
      <c r="M13">
        <v>14.1321656554241</v>
      </c>
      <c r="N13">
        <v>8.1906859764924206E-2</v>
      </c>
      <c r="O13">
        <v>0.29873455950678701</v>
      </c>
      <c r="P13">
        <v>4120.4449198216098</v>
      </c>
      <c r="Q13">
        <v>67870.318422118595</v>
      </c>
      <c r="R13">
        <v>13.5400339572644</v>
      </c>
      <c r="S13">
        <v>9.54656930914205E-2</v>
      </c>
      <c r="T13">
        <v>0.36860828872574702</v>
      </c>
      <c r="U13">
        <v>5012.5663374503602</v>
      </c>
    </row>
    <row r="14" spans="1:21" x14ac:dyDescent="0.25">
      <c r="A14" t="s">
        <v>21</v>
      </c>
      <c r="B14" t="s">
        <v>43</v>
      </c>
      <c r="C14" t="s">
        <v>36</v>
      </c>
      <c r="D14" t="s">
        <v>24</v>
      </c>
      <c r="E14" t="s">
        <v>30</v>
      </c>
      <c r="F14" t="s">
        <v>47</v>
      </c>
      <c r="J14" t="s">
        <v>26</v>
      </c>
      <c r="K14" t="s">
        <v>26</v>
      </c>
      <c r="L14">
        <v>57934.738138488501</v>
      </c>
      <c r="M14">
        <v>14.4063768868784</v>
      </c>
      <c r="N14">
        <v>8.14904078696395E-2</v>
      </c>
      <c r="O14">
        <v>0.29872253979994101</v>
      </c>
      <c r="P14">
        <v>4021.46484111882</v>
      </c>
      <c r="Q14">
        <v>66542.617097432798</v>
      </c>
      <c r="R14">
        <v>14.437784810750401</v>
      </c>
      <c r="S14">
        <v>9.3598162039168695E-2</v>
      </c>
      <c r="T14">
        <v>0.36087142108598902</v>
      </c>
      <c r="U14">
        <v>4608.9215187557702</v>
      </c>
    </row>
    <row r="15" spans="1:21" x14ac:dyDescent="0.25">
      <c r="A15" t="s">
        <v>21</v>
      </c>
      <c r="B15" t="s">
        <v>43</v>
      </c>
      <c r="C15" t="s">
        <v>36</v>
      </c>
      <c r="D15" t="s">
        <v>33</v>
      </c>
      <c r="E15" t="s">
        <v>28</v>
      </c>
      <c r="F15" t="s">
        <v>48</v>
      </c>
      <c r="J15" t="s">
        <v>26</v>
      </c>
      <c r="K15" t="s">
        <v>26</v>
      </c>
      <c r="L15">
        <v>56923.262164874002</v>
      </c>
      <c r="M15">
        <v>13.379113248504201</v>
      </c>
      <c r="N15">
        <v>8.0067676149627995E-2</v>
      </c>
      <c r="O15">
        <v>0.30479658815789101</v>
      </c>
      <c r="P15">
        <v>4254.6363953707996</v>
      </c>
      <c r="Q15">
        <v>62314.070974214897</v>
      </c>
      <c r="R15">
        <v>13.326399747305199</v>
      </c>
      <c r="S15">
        <v>8.7650332475273707E-2</v>
      </c>
      <c r="T15">
        <v>0.37409797837200398</v>
      </c>
      <c r="U15">
        <v>4675.9869248868499</v>
      </c>
    </row>
    <row r="16" spans="1:21" x14ac:dyDescent="0.25">
      <c r="A16" t="s">
        <v>21</v>
      </c>
      <c r="B16" t="s">
        <v>43</v>
      </c>
      <c r="C16" t="s">
        <v>36</v>
      </c>
      <c r="D16" t="s">
        <v>33</v>
      </c>
      <c r="E16" t="s">
        <v>30</v>
      </c>
      <c r="F16" t="s">
        <v>49</v>
      </c>
      <c r="J16" t="s">
        <v>26</v>
      </c>
      <c r="K16" t="s">
        <v>26</v>
      </c>
      <c r="L16">
        <v>60164.558076094901</v>
      </c>
      <c r="M16">
        <v>14.056233671115899</v>
      </c>
      <c r="N16">
        <v>8.4626849701085194E-2</v>
      </c>
      <c r="O16">
        <v>0.29719805696121798</v>
      </c>
      <c r="P16">
        <v>4280.27588924668</v>
      </c>
      <c r="Q16">
        <v>68190.440363490605</v>
      </c>
      <c r="R16">
        <v>13.972592886696001</v>
      </c>
      <c r="S16">
        <v>9.5915973327572804E-2</v>
      </c>
      <c r="T16">
        <v>0.361176413054277</v>
      </c>
      <c r="U16">
        <v>4880.2996635232903</v>
      </c>
    </row>
    <row r="17" spans="1:21" x14ac:dyDescent="0.25">
      <c r="A17" t="s">
        <v>50</v>
      </c>
      <c r="B17" t="s">
        <v>22</v>
      </c>
      <c r="C17" t="s">
        <v>23</v>
      </c>
      <c r="D17" t="s">
        <v>24</v>
      </c>
      <c r="E17" t="s">
        <v>24</v>
      </c>
      <c r="F17" t="s">
        <v>51</v>
      </c>
      <c r="G17">
        <v>0.35</v>
      </c>
      <c r="J17" t="s">
        <v>26</v>
      </c>
      <c r="K17" t="s">
        <v>26</v>
      </c>
      <c r="L17">
        <v>1103544.1581910001</v>
      </c>
      <c r="M17">
        <v>16.211700930976399</v>
      </c>
      <c r="N17">
        <v>0.47580265752530898</v>
      </c>
      <c r="O17">
        <v>0.14326132840942701</v>
      </c>
      <c r="P17">
        <v>68070.843577086795</v>
      </c>
      <c r="Q17">
        <v>1101627.7201078699</v>
      </c>
      <c r="R17">
        <v>15.990136379000299</v>
      </c>
      <c r="S17">
        <v>0.473107015392978</v>
      </c>
      <c r="T17">
        <v>0.14212887196065899</v>
      </c>
      <c r="U17">
        <v>68894.2041516686</v>
      </c>
    </row>
    <row r="18" spans="1:21" x14ac:dyDescent="0.25">
      <c r="A18" t="s">
        <v>50</v>
      </c>
      <c r="B18" t="s">
        <v>22</v>
      </c>
      <c r="C18" t="s">
        <v>23</v>
      </c>
      <c r="D18" t="s">
        <v>24</v>
      </c>
      <c r="E18" t="s">
        <v>28</v>
      </c>
      <c r="F18" t="s">
        <v>52</v>
      </c>
      <c r="G18">
        <v>0.3</v>
      </c>
      <c r="J18" t="s">
        <v>26</v>
      </c>
      <c r="K18" t="s">
        <v>26</v>
      </c>
      <c r="L18">
        <v>1130162.7054365899</v>
      </c>
      <c r="M18">
        <v>17.173623681607602</v>
      </c>
      <c r="N18">
        <v>0.51324403279751896</v>
      </c>
      <c r="O18">
        <v>0.14614683527153599</v>
      </c>
      <c r="P18">
        <v>65808.051136404203</v>
      </c>
      <c r="Q18">
        <v>1125120.42059954</v>
      </c>
      <c r="R18">
        <v>16.6027285460214</v>
      </c>
      <c r="S18">
        <v>0.50615160671312398</v>
      </c>
      <c r="T18">
        <v>0.14591411897908299</v>
      </c>
      <c r="U18">
        <v>67767.199679305893</v>
      </c>
    </row>
    <row r="19" spans="1:21" x14ac:dyDescent="0.25">
      <c r="A19" t="s">
        <v>50</v>
      </c>
      <c r="B19" t="s">
        <v>22</v>
      </c>
      <c r="C19" t="s">
        <v>23</v>
      </c>
      <c r="D19" t="s">
        <v>24</v>
      </c>
      <c r="E19" t="s">
        <v>30</v>
      </c>
      <c r="F19" t="s">
        <v>53</v>
      </c>
      <c r="G19">
        <v>0.35</v>
      </c>
      <c r="J19" t="s">
        <v>26</v>
      </c>
      <c r="K19" t="s">
        <v>26</v>
      </c>
      <c r="L19">
        <v>1132836.1415007899</v>
      </c>
      <c r="M19">
        <v>17.248937123103399</v>
      </c>
      <c r="N19">
        <v>0.51700446051817495</v>
      </c>
      <c r="O19">
        <v>0.14182367179547301</v>
      </c>
      <c r="P19">
        <v>65675.707054636805</v>
      </c>
      <c r="Q19">
        <v>1131559.4398882301</v>
      </c>
      <c r="R19">
        <v>16.671980749979401</v>
      </c>
      <c r="S19">
        <v>0.51520866513739905</v>
      </c>
      <c r="T19">
        <v>0.14155337500241899</v>
      </c>
      <c r="U19">
        <v>67871.925769205904</v>
      </c>
    </row>
    <row r="20" spans="1:21" x14ac:dyDescent="0.25">
      <c r="A20" t="s">
        <v>50</v>
      </c>
      <c r="B20" t="s">
        <v>22</v>
      </c>
      <c r="C20" t="s">
        <v>23</v>
      </c>
      <c r="D20" t="s">
        <v>33</v>
      </c>
      <c r="E20" t="s">
        <v>28</v>
      </c>
      <c r="F20" t="s">
        <v>54</v>
      </c>
      <c r="G20">
        <v>0.45</v>
      </c>
      <c r="J20" t="s">
        <v>26</v>
      </c>
      <c r="K20" t="s">
        <v>26</v>
      </c>
      <c r="L20">
        <v>1127552.0507333099</v>
      </c>
      <c r="M20">
        <v>17.1049893677672</v>
      </c>
      <c r="N20">
        <v>0.50957191269456603</v>
      </c>
      <c r="O20">
        <v>0.14676543566053701</v>
      </c>
      <c r="P20">
        <v>65919.482701233006</v>
      </c>
      <c r="Q20">
        <v>1124243.4673906199</v>
      </c>
      <c r="R20">
        <v>16.744021735642601</v>
      </c>
      <c r="S20">
        <v>0.50491809333283</v>
      </c>
      <c r="T20">
        <v>0.14547180529333401</v>
      </c>
      <c r="U20">
        <v>67142.977066105406</v>
      </c>
    </row>
    <row r="21" spans="1:21" x14ac:dyDescent="0.25">
      <c r="A21" t="s">
        <v>50</v>
      </c>
      <c r="B21" t="s">
        <v>22</v>
      </c>
      <c r="C21" t="s">
        <v>23</v>
      </c>
      <c r="D21" t="s">
        <v>33</v>
      </c>
      <c r="E21" t="s">
        <v>30</v>
      </c>
      <c r="F21" t="s">
        <v>55</v>
      </c>
      <c r="G21">
        <v>0.65</v>
      </c>
      <c r="J21" t="s">
        <v>26</v>
      </c>
      <c r="K21" t="s">
        <v>26</v>
      </c>
      <c r="L21">
        <v>1134881.9185079699</v>
      </c>
      <c r="M21">
        <v>17.075343732759599</v>
      </c>
      <c r="N21">
        <v>0.51988202945318696</v>
      </c>
      <c r="O21">
        <v>0.14153180352443301</v>
      </c>
      <c r="P21">
        <v>66463.196072045306</v>
      </c>
      <c r="Q21">
        <v>1132381.19953667</v>
      </c>
      <c r="R21">
        <v>16.641340452824</v>
      </c>
      <c r="S21">
        <v>0.516364543822177</v>
      </c>
      <c r="T21">
        <v>0.14104701630469499</v>
      </c>
      <c r="U21">
        <v>68046.2732402369</v>
      </c>
    </row>
    <row r="22" spans="1:21" x14ac:dyDescent="0.25">
      <c r="A22" t="s">
        <v>50</v>
      </c>
      <c r="B22" t="s">
        <v>22</v>
      </c>
      <c r="C22" t="s">
        <v>36</v>
      </c>
      <c r="D22" t="s">
        <v>24</v>
      </c>
      <c r="E22" t="s">
        <v>24</v>
      </c>
      <c r="F22" t="s">
        <v>56</v>
      </c>
      <c r="G22">
        <v>0.05</v>
      </c>
      <c r="J22" t="s">
        <v>26</v>
      </c>
      <c r="K22" t="s">
        <v>26</v>
      </c>
      <c r="L22">
        <v>1096868.6884492801</v>
      </c>
      <c r="M22">
        <v>15.470268779933001</v>
      </c>
      <c r="N22">
        <v>0.46641301032133797</v>
      </c>
      <c r="O22">
        <v>0.13933064329059699</v>
      </c>
      <c r="P22">
        <v>70901.721492522702</v>
      </c>
      <c r="Q22">
        <v>1094260.8200433301</v>
      </c>
      <c r="R22">
        <v>15.352396596222899</v>
      </c>
      <c r="S22">
        <v>0.46274480939562002</v>
      </c>
      <c r="T22">
        <v>0.139028573692071</v>
      </c>
      <c r="U22">
        <v>71276.221480139997</v>
      </c>
    </row>
    <row r="23" spans="1:21" x14ac:dyDescent="0.25">
      <c r="A23" t="s">
        <v>50</v>
      </c>
      <c r="B23" t="s">
        <v>22</v>
      </c>
      <c r="C23" t="s">
        <v>36</v>
      </c>
      <c r="D23" t="s">
        <v>24</v>
      </c>
      <c r="E23" t="s">
        <v>28</v>
      </c>
      <c r="F23" t="s">
        <v>57</v>
      </c>
      <c r="G23">
        <v>0.1</v>
      </c>
      <c r="J23" t="s">
        <v>26</v>
      </c>
      <c r="K23" t="s">
        <v>26</v>
      </c>
      <c r="L23">
        <v>1127845.15689561</v>
      </c>
      <c r="M23">
        <v>16.735773545991702</v>
      </c>
      <c r="N23">
        <v>0.50998419281325003</v>
      </c>
      <c r="O23">
        <v>0.14077959120198899</v>
      </c>
      <c r="P23">
        <v>67391.277361406203</v>
      </c>
      <c r="Q23">
        <v>1118952.0954529401</v>
      </c>
      <c r="R23">
        <v>16.4182366648959</v>
      </c>
      <c r="S23">
        <v>0.49747530388997602</v>
      </c>
      <c r="T23">
        <v>0.14064621371076999</v>
      </c>
      <c r="U23">
        <v>68153.000732739296</v>
      </c>
    </row>
    <row r="24" spans="1:21" x14ac:dyDescent="0.25">
      <c r="A24" t="s">
        <v>50</v>
      </c>
      <c r="B24" t="s">
        <v>22</v>
      </c>
      <c r="C24" t="s">
        <v>36</v>
      </c>
      <c r="D24" t="s">
        <v>24</v>
      </c>
      <c r="E24" t="s">
        <v>30</v>
      </c>
      <c r="F24" t="s">
        <v>58</v>
      </c>
      <c r="G24">
        <v>0.25</v>
      </c>
      <c r="J24" t="s">
        <v>26</v>
      </c>
      <c r="K24" t="s">
        <v>26</v>
      </c>
      <c r="L24">
        <v>1132856.5087218799</v>
      </c>
      <c r="M24">
        <v>17.110342470446898</v>
      </c>
      <c r="N24">
        <v>0.51703310884225895</v>
      </c>
      <c r="O24">
        <v>0.14105075222511901</v>
      </c>
      <c r="P24">
        <v>66208.873999954099</v>
      </c>
      <c r="Q24">
        <v>1130103.6220798001</v>
      </c>
      <c r="R24">
        <v>16.5752200418763</v>
      </c>
      <c r="S24">
        <v>0.51316092675443703</v>
      </c>
      <c r="T24">
        <v>0.140368278076585</v>
      </c>
      <c r="U24">
        <v>68180.308872199297</v>
      </c>
    </row>
    <row r="25" spans="1:21" x14ac:dyDescent="0.25">
      <c r="A25" t="s">
        <v>50</v>
      </c>
      <c r="B25" t="s">
        <v>22</v>
      </c>
      <c r="C25" t="s">
        <v>36</v>
      </c>
      <c r="D25" t="s">
        <v>33</v>
      </c>
      <c r="E25" t="s">
        <v>28</v>
      </c>
      <c r="F25" t="s">
        <v>59</v>
      </c>
      <c r="G25">
        <v>0.25</v>
      </c>
      <c r="J25" t="s">
        <v>26</v>
      </c>
      <c r="K25" t="s">
        <v>26</v>
      </c>
      <c r="L25">
        <v>1126258.11101705</v>
      </c>
      <c r="M25">
        <v>16.6937455023434</v>
      </c>
      <c r="N25">
        <v>0.50775187037411196</v>
      </c>
      <c r="O25">
        <v>0.14144974003545799</v>
      </c>
      <c r="P25">
        <v>67465.872823983693</v>
      </c>
      <c r="Q25">
        <v>1121655.09901335</v>
      </c>
      <c r="R25">
        <v>16.509036778613801</v>
      </c>
      <c r="S25">
        <v>0.50127732094723998</v>
      </c>
      <c r="T25">
        <v>0.14137381406597099</v>
      </c>
      <c r="U25">
        <v>67941.886256281694</v>
      </c>
    </row>
    <row r="26" spans="1:21" x14ac:dyDescent="0.25">
      <c r="A26" t="s">
        <v>50</v>
      </c>
      <c r="B26" t="s">
        <v>22</v>
      </c>
      <c r="C26" t="s">
        <v>36</v>
      </c>
      <c r="D26" t="s">
        <v>33</v>
      </c>
      <c r="E26" t="s">
        <v>30</v>
      </c>
      <c r="F26" t="s">
        <v>60</v>
      </c>
      <c r="G26">
        <v>0.3</v>
      </c>
      <c r="J26" t="s">
        <v>26</v>
      </c>
      <c r="K26" t="s">
        <v>26</v>
      </c>
      <c r="L26">
        <v>1134020.5185648999</v>
      </c>
      <c r="M26">
        <v>17.1501036960323</v>
      </c>
      <c r="N26">
        <v>0.51867039313696695</v>
      </c>
      <c r="O26">
        <v>0.14125405683480399</v>
      </c>
      <c r="P26">
        <v>66123.245588728503</v>
      </c>
      <c r="Q26">
        <v>1131471.7316916501</v>
      </c>
      <c r="R26">
        <v>16.7258729856052</v>
      </c>
      <c r="S26">
        <v>0.51508529568856198</v>
      </c>
      <c r="T26">
        <v>0.140991919397882</v>
      </c>
      <c r="U26">
        <v>67647.9925840301</v>
      </c>
    </row>
    <row r="27" spans="1:21" x14ac:dyDescent="0.25">
      <c r="A27" t="s">
        <v>50</v>
      </c>
      <c r="B27" t="s">
        <v>43</v>
      </c>
      <c r="C27" t="s">
        <v>36</v>
      </c>
      <c r="D27" t="s">
        <v>24</v>
      </c>
      <c r="E27" t="s">
        <v>24</v>
      </c>
      <c r="F27" t="s">
        <v>61</v>
      </c>
      <c r="J27" t="s">
        <v>26</v>
      </c>
      <c r="K27" t="s">
        <v>26</v>
      </c>
      <c r="L27">
        <v>1129637.9203919801</v>
      </c>
      <c r="M27">
        <v>17.1409572764038</v>
      </c>
      <c r="N27">
        <v>0.51250587554155802</v>
      </c>
      <c r="O27">
        <v>0.14989227472488301</v>
      </c>
      <c r="P27">
        <v>65902.849075240301</v>
      </c>
      <c r="Q27">
        <v>1126817.4016301199</v>
      </c>
      <c r="R27">
        <v>16.823749290839299</v>
      </c>
      <c r="S27">
        <v>0.50853856280841403</v>
      </c>
      <c r="T27">
        <v>0.14667963931426301</v>
      </c>
      <c r="U27">
        <v>66977.781358384906</v>
      </c>
    </row>
    <row r="28" spans="1:21" x14ac:dyDescent="0.25">
      <c r="A28" t="s">
        <v>50</v>
      </c>
      <c r="B28" t="s">
        <v>43</v>
      </c>
      <c r="C28" t="s">
        <v>36</v>
      </c>
      <c r="D28" t="s">
        <v>24</v>
      </c>
      <c r="E28" t="s">
        <v>28</v>
      </c>
      <c r="F28" t="s">
        <v>62</v>
      </c>
      <c r="J28" t="s">
        <v>26</v>
      </c>
      <c r="K28" t="s">
        <v>26</v>
      </c>
      <c r="L28">
        <v>1136967.1471136999</v>
      </c>
      <c r="M28">
        <v>17.400860944873699</v>
      </c>
      <c r="N28">
        <v>0.52281509060168696</v>
      </c>
      <c r="O28">
        <v>0.145218313367343</v>
      </c>
      <c r="P28">
        <v>65339.7065073755</v>
      </c>
      <c r="Q28">
        <v>1138229.86214269</v>
      </c>
      <c r="R28">
        <v>16.948829301457401</v>
      </c>
      <c r="S28">
        <v>0.52459121259760699</v>
      </c>
      <c r="T28">
        <v>0.14561180627727</v>
      </c>
      <c r="U28">
        <v>67156.842628937302</v>
      </c>
    </row>
    <row r="29" spans="1:21" x14ac:dyDescent="0.25">
      <c r="A29" t="s">
        <v>50</v>
      </c>
      <c r="B29" t="s">
        <v>43</v>
      </c>
      <c r="C29" t="s">
        <v>36</v>
      </c>
      <c r="D29" t="s">
        <v>24</v>
      </c>
      <c r="E29" t="s">
        <v>30</v>
      </c>
      <c r="F29" t="s">
        <v>63</v>
      </c>
      <c r="J29" t="s">
        <v>26</v>
      </c>
      <c r="K29" t="s">
        <v>26</v>
      </c>
      <c r="L29">
        <v>1136246.1671150799</v>
      </c>
      <c r="M29">
        <v>17.507751726592801</v>
      </c>
      <c r="N29">
        <v>0.52180096753767602</v>
      </c>
      <c r="O29">
        <v>0.14409336497651101</v>
      </c>
      <c r="P29">
        <v>64899.604749890103</v>
      </c>
      <c r="Q29">
        <v>1137386.5286859199</v>
      </c>
      <c r="R29">
        <v>17.0157312459807</v>
      </c>
      <c r="S29">
        <v>0.52340498841552396</v>
      </c>
      <c r="T29">
        <v>0.14337107647884101</v>
      </c>
      <c r="U29">
        <v>66843.235371067902</v>
      </c>
    </row>
    <row r="30" spans="1:21" x14ac:dyDescent="0.25">
      <c r="A30" t="s">
        <v>50</v>
      </c>
      <c r="B30" t="s">
        <v>43</v>
      </c>
      <c r="C30" t="s">
        <v>36</v>
      </c>
      <c r="D30" t="s">
        <v>33</v>
      </c>
      <c r="E30" t="s">
        <v>28</v>
      </c>
      <c r="F30" t="s">
        <v>64</v>
      </c>
      <c r="J30" t="s">
        <v>26</v>
      </c>
      <c r="K30" t="s">
        <v>26</v>
      </c>
      <c r="L30">
        <v>1135708.04119574</v>
      </c>
      <c r="M30">
        <v>17.3738628643322</v>
      </c>
      <c r="N30">
        <v>0.52104404514428604</v>
      </c>
      <c r="O30">
        <v>0.146709758639959</v>
      </c>
      <c r="P30">
        <v>65368.769747072198</v>
      </c>
      <c r="Q30">
        <v>1135384.5504576</v>
      </c>
      <c r="R30">
        <v>16.9635410988022</v>
      </c>
      <c r="S30">
        <v>0.52058902639318105</v>
      </c>
      <c r="T30">
        <v>0.14645818586152701</v>
      </c>
      <c r="U30">
        <v>66930.869200285306</v>
      </c>
    </row>
    <row r="31" spans="1:21" x14ac:dyDescent="0.25">
      <c r="A31" t="s">
        <v>50</v>
      </c>
      <c r="B31" t="s">
        <v>43</v>
      </c>
      <c r="C31" t="s">
        <v>36</v>
      </c>
      <c r="D31" t="s">
        <v>33</v>
      </c>
      <c r="E31" t="s">
        <v>30</v>
      </c>
      <c r="F31" t="s">
        <v>65</v>
      </c>
      <c r="J31" t="s">
        <v>26</v>
      </c>
      <c r="K31" t="s">
        <v>26</v>
      </c>
      <c r="L31">
        <v>1137476.49311698</v>
      </c>
      <c r="M31">
        <v>17.5388267825771</v>
      </c>
      <c r="N31">
        <v>0.52353153146061704</v>
      </c>
      <c r="O31">
        <v>0.14449253908772</v>
      </c>
      <c r="P31">
        <v>64854.765214223902</v>
      </c>
      <c r="Q31">
        <v>1138026.8805412501</v>
      </c>
      <c r="R31">
        <v>17.075189035562399</v>
      </c>
      <c r="S31">
        <v>0.52430570076096195</v>
      </c>
      <c r="T31">
        <v>0.143915926457239</v>
      </c>
      <c r="U31">
        <v>66647.981358864607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3D16-9448-45E6-9B5F-1D1DEEF3F618}">
  <dimension ref="A1:AK35"/>
  <sheetViews>
    <sheetView tabSelected="1" workbookViewId="0">
      <selection activeCell="L44" sqref="L44"/>
    </sheetView>
  </sheetViews>
  <sheetFormatPr defaultRowHeight="15" x14ac:dyDescent="0.25"/>
  <cols>
    <col min="7" max="7" width="14.7109375" bestFit="1" customWidth="1"/>
    <col min="8" max="8" width="12" bestFit="1" customWidth="1"/>
    <col min="9" max="9" width="14.7109375" bestFit="1" customWidth="1"/>
    <col min="10" max="10" width="9.42578125" bestFit="1" customWidth="1"/>
    <col min="11" max="11" width="14.7109375" bestFit="1" customWidth="1"/>
    <col min="12" max="12" width="12" bestFit="1" customWidth="1"/>
    <col min="13" max="13" width="19.42578125" bestFit="1" customWidth="1"/>
    <col min="14" max="14" width="55.7109375" bestFit="1" customWidth="1"/>
    <col min="15" max="15" width="46.42578125" bestFit="1" customWidth="1"/>
    <col min="16" max="16" width="45.28515625" bestFit="1" customWidth="1"/>
    <col min="17" max="17" width="20" bestFit="1" customWidth="1"/>
    <col min="18" max="18" width="56.28515625" bestFit="1" customWidth="1"/>
    <col min="19" max="19" width="45.85546875" bestFit="1" customWidth="1"/>
    <col min="20" max="20" width="47" bestFit="1" customWidth="1"/>
    <col min="21" max="21" width="62.28515625" bestFit="1" customWidth="1"/>
    <col min="22" max="23" width="62.28515625" customWidth="1"/>
    <col min="24" max="24" width="19.42578125" bestFit="1" customWidth="1"/>
    <col min="25" max="25" width="17.5703125" bestFit="1" customWidth="1"/>
    <col min="26" max="26" width="17.28515625" bestFit="1" customWidth="1"/>
    <col min="27" max="27" width="15.28515625" bestFit="1" customWidth="1"/>
    <col min="28" max="28" width="24.42578125" bestFit="1" customWidth="1"/>
    <col min="29" max="29" width="16.7109375" bestFit="1" customWidth="1"/>
    <col min="30" max="30" width="19.85546875" bestFit="1" customWidth="1"/>
    <col min="31" max="31" width="16.7109375" bestFit="1" customWidth="1"/>
    <col min="32" max="32" width="19.85546875" bestFit="1" customWidth="1"/>
    <col min="33" max="33" width="22" bestFit="1" customWidth="1"/>
    <col min="34" max="34" width="16.7109375" bestFit="1" customWidth="1"/>
    <col min="35" max="35" width="19.85546875" bestFit="1" customWidth="1"/>
    <col min="36" max="36" width="14.42578125" bestFit="1" customWidth="1"/>
    <col min="37" max="37" width="17.5703125" bestFit="1" customWidth="1"/>
  </cols>
  <sheetData>
    <row r="1" spans="1:37" x14ac:dyDescent="0.2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82</v>
      </c>
      <c r="N1" t="s">
        <v>83</v>
      </c>
      <c r="O1" t="s">
        <v>85</v>
      </c>
      <c r="P1" t="s">
        <v>84</v>
      </c>
      <c r="Q1" t="s">
        <v>87</v>
      </c>
      <c r="R1" t="s">
        <v>86</v>
      </c>
      <c r="S1" t="s">
        <v>88</v>
      </c>
      <c r="T1" t="s">
        <v>89</v>
      </c>
      <c r="U1" t="s">
        <v>90</v>
      </c>
      <c r="V1" t="s">
        <v>43</v>
      </c>
      <c r="W1" t="s">
        <v>91</v>
      </c>
      <c r="X1" t="s">
        <v>72</v>
      </c>
      <c r="Y1" t="s">
        <v>73</v>
      </c>
      <c r="Z1" t="s">
        <v>74</v>
      </c>
      <c r="AA1" t="s">
        <v>75</v>
      </c>
      <c r="AB1" t="s">
        <v>80</v>
      </c>
      <c r="AC1" t="s">
        <v>76</v>
      </c>
      <c r="AD1" t="s">
        <v>78</v>
      </c>
      <c r="AE1" t="s">
        <v>77</v>
      </c>
      <c r="AF1" t="s">
        <v>79</v>
      </c>
      <c r="AG1" t="s">
        <v>81</v>
      </c>
      <c r="AH1" t="s">
        <v>76</v>
      </c>
      <c r="AI1" t="s">
        <v>78</v>
      </c>
      <c r="AJ1" t="s">
        <v>77</v>
      </c>
      <c r="AK1" t="s">
        <v>79</v>
      </c>
    </row>
    <row r="2" spans="1:37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s="4">
        <v>17966.507653907898</v>
      </c>
      <c r="H2" s="3">
        <v>14.5012647683059</v>
      </c>
      <c r="I2" s="4">
        <v>10608.415875372</v>
      </c>
      <c r="J2" s="3">
        <v>12.7312472798339</v>
      </c>
      <c r="K2" s="4">
        <v>10387.610800455999</v>
      </c>
      <c r="L2" s="3">
        <v>17.666164795517499</v>
      </c>
      <c r="M2">
        <v>7.2791050791068796</v>
      </c>
      <c r="N2">
        <f>(M2-L2)/M2</f>
        <v>-1.426969332565958</v>
      </c>
      <c r="O2" s="1">
        <f>AVERAGE(N2:N11)</f>
        <v>-0.15933915776713653</v>
      </c>
      <c r="P2" s="1">
        <f>MEDIAN(N2:N11)</f>
        <v>-5.1438314343092064E-3</v>
      </c>
      <c r="Q2">
        <v>10.8445501658511</v>
      </c>
      <c r="R2">
        <f>(Q2-H2)/Q2</f>
        <v>-0.33719375599087509</v>
      </c>
      <c r="S2" s="1">
        <f>MEDIAN(R2:R11)</f>
        <v>-1.3251394055458358E-2</v>
      </c>
      <c r="T2" s="1">
        <f>AVERAGE(R2:R11)</f>
        <v>-5.3254217880268649E-2</v>
      </c>
      <c r="U2" s="1">
        <f>(M2-H2)/M2</f>
        <v>-0.99217686936938043</v>
      </c>
      <c r="V2" s="1">
        <f>MEDIAN(U2:U16)</f>
        <v>2.9314082378684145E-2</v>
      </c>
      <c r="W2" s="1">
        <f>AVERAGE(U2:U16)</f>
        <v>-4.3984262513717218E-2</v>
      </c>
      <c r="X2">
        <f>(G2-K2)/K2</f>
        <v>0.72960924307244912</v>
      </c>
      <c r="Y2">
        <f>(I2-K2)/K2</f>
        <v>2.1256579511653259E-2</v>
      </c>
      <c r="Z2">
        <f>(H2-L2)/L2</f>
        <v>-0.17915037382729732</v>
      </c>
      <c r="AA2">
        <f>(J2-L2)/L2</f>
        <v>-0.27934288923511874</v>
      </c>
      <c r="AC2">
        <f>AVERAGE(X2:X16)</f>
        <v>0.30440867305424291</v>
      </c>
      <c r="AD2" s="1">
        <f>MEDIAN(X2:X16)</f>
        <v>7.8904591556766879E-2</v>
      </c>
      <c r="AE2" s="1">
        <f>AVERAGE(Z2:Z16)</f>
        <v>-4.461233307635782E-2</v>
      </c>
      <c r="AF2" s="1">
        <f>MEDIAN(Z2:Z16)</f>
        <v>-3.8072333438014812E-2</v>
      </c>
      <c r="AH2">
        <f>AVERAGE(Y2:Y16)</f>
        <v>0.12858184157391464</v>
      </c>
      <c r="AI2">
        <f>MEDIAN(Y2:Y16)</f>
        <v>2.7356208113813504E-2</v>
      </c>
      <c r="AJ2">
        <f>AVERAGE(AA2:AA16)</f>
        <v>1.860781737656831E-3</v>
      </c>
      <c r="AK2">
        <f>MEDIAN(AA2:AA16)</f>
        <v>2.7331434904056477E-2</v>
      </c>
    </row>
    <row r="3" spans="1:37" x14ac:dyDescent="0.25">
      <c r="A3" t="s">
        <v>21</v>
      </c>
      <c r="B3" t="s">
        <v>22</v>
      </c>
      <c r="C3" t="s">
        <v>23</v>
      </c>
      <c r="D3" t="s">
        <v>24</v>
      </c>
      <c r="E3" t="s">
        <v>28</v>
      </c>
      <c r="F3" t="s">
        <v>29</v>
      </c>
      <c r="G3" s="4">
        <v>56659.5262106753</v>
      </c>
      <c r="H3" s="3">
        <v>11.3199532767169</v>
      </c>
      <c r="I3" s="4">
        <v>53943.755752179597</v>
      </c>
      <c r="J3" s="3">
        <v>10.554745801128099</v>
      </c>
      <c r="K3" s="4">
        <v>50725.383616908701</v>
      </c>
      <c r="L3" s="3">
        <v>9.2274048582693293</v>
      </c>
      <c r="M3">
        <v>9.2274048582693293</v>
      </c>
      <c r="N3">
        <f t="shared" ref="N3:N31" si="0">(M3-L3)/M3</f>
        <v>0</v>
      </c>
      <c r="Q3">
        <v>10.459869750118701</v>
      </c>
      <c r="R3">
        <f t="shared" ref="R3:R31" si="1">(Q3-H3)/Q3</f>
        <v>-8.2226982471597099E-2</v>
      </c>
      <c r="U3" s="1">
        <f t="shared" ref="U3:U31" si="2">(M3-H3)/M3</f>
        <v>-0.22677539899772473</v>
      </c>
      <c r="V3" s="1"/>
      <c r="W3" s="1"/>
      <c r="X3">
        <f t="shared" ref="X3:X31" si="3">(G3-K3)/K3</f>
        <v>0.11698566221958592</v>
      </c>
      <c r="Y3">
        <f t="shared" ref="Y3:Y31" si="4">(I3-K3)/K3</f>
        <v>6.3446974784397495E-2</v>
      </c>
      <c r="Z3">
        <f t="shared" ref="Z3:Z31" si="5">(H3-L3)/L3</f>
        <v>0.22677539899772473</v>
      </c>
      <c r="AA3">
        <f t="shared" ref="AA3:AA31" si="6">(J3-L3)/L3</f>
        <v>0.14384769751044857</v>
      </c>
    </row>
    <row r="4" spans="1:37" x14ac:dyDescent="0.25">
      <c r="A4" t="s">
        <v>21</v>
      </c>
      <c r="B4" t="s">
        <v>22</v>
      </c>
      <c r="C4" t="s">
        <v>23</v>
      </c>
      <c r="D4" t="s">
        <v>24</v>
      </c>
      <c r="E4" t="s">
        <v>30</v>
      </c>
      <c r="F4" t="s">
        <v>31</v>
      </c>
      <c r="G4" s="4">
        <v>66143.716405281302</v>
      </c>
      <c r="H4" s="3">
        <v>13.4290121599171</v>
      </c>
      <c r="I4" s="4">
        <v>63062.210282758599</v>
      </c>
      <c r="J4" s="3">
        <v>14.0097285364218</v>
      </c>
      <c r="K4" s="4">
        <v>61242.283050484897</v>
      </c>
      <c r="L4" s="3">
        <v>13.834559579091399</v>
      </c>
      <c r="M4">
        <v>13.834559579091399</v>
      </c>
      <c r="N4">
        <f t="shared" si="0"/>
        <v>0</v>
      </c>
      <c r="Q4">
        <v>13.2465705512108</v>
      </c>
      <c r="R4">
        <f t="shared" si="1"/>
        <v>-1.3772742763946876E-2</v>
      </c>
      <c r="U4" s="1">
        <f>(M4-H4)/M4</f>
        <v>2.9314082378684145E-2</v>
      </c>
      <c r="V4" s="1"/>
      <c r="W4" s="1"/>
      <c r="X4">
        <f t="shared" si="3"/>
        <v>8.0033485210796645E-2</v>
      </c>
      <c r="Y4">
        <f t="shared" si="4"/>
        <v>2.9716841724751669E-2</v>
      </c>
      <c r="Z4">
        <f t="shared" si="5"/>
        <v>-2.9314082378684145E-2</v>
      </c>
      <c r="AA4">
        <f t="shared" si="6"/>
        <v>1.2661693805933601E-2</v>
      </c>
    </row>
    <row r="5" spans="1:37" x14ac:dyDescent="0.25">
      <c r="A5" t="s">
        <v>21</v>
      </c>
      <c r="B5" t="s">
        <v>22</v>
      </c>
      <c r="C5" t="s">
        <v>23</v>
      </c>
      <c r="D5" t="s">
        <v>33</v>
      </c>
      <c r="E5" t="s">
        <v>28</v>
      </c>
      <c r="F5" t="s">
        <v>34</v>
      </c>
      <c r="G5" s="4">
        <v>49868.214150801097</v>
      </c>
      <c r="H5" s="3">
        <v>12.0707577506459</v>
      </c>
      <c r="I5" s="4">
        <v>47485.588435072503</v>
      </c>
      <c r="J5" s="3">
        <v>14.002783619634799</v>
      </c>
      <c r="K5" s="4">
        <v>46221.152955559803</v>
      </c>
      <c r="L5" s="3">
        <v>12.548508760318599</v>
      </c>
      <c r="M5">
        <v>12.5528550750345</v>
      </c>
      <c r="N5">
        <f t="shared" si="0"/>
        <v>3.4624112920297976E-4</v>
      </c>
      <c r="Q5">
        <v>12.346961105617099</v>
      </c>
      <c r="R5">
        <f t="shared" si="1"/>
        <v>2.2370148622687765E-2</v>
      </c>
      <c r="U5" s="1">
        <f t="shared" si="2"/>
        <v>3.8405392359496818E-2</v>
      </c>
      <c r="V5" s="1"/>
      <c r="W5" s="1"/>
      <c r="X5">
        <f t="shared" si="3"/>
        <v>7.8904591556766879E-2</v>
      </c>
      <c r="Y5">
        <f t="shared" si="4"/>
        <v>2.7356208113813504E-2</v>
      </c>
      <c r="Z5">
        <f t="shared" si="5"/>
        <v>-3.8072333438014812E-2</v>
      </c>
      <c r="AA5">
        <f t="shared" si="6"/>
        <v>0.11589224561208157</v>
      </c>
    </row>
    <row r="6" spans="1:37" x14ac:dyDescent="0.25">
      <c r="A6" t="s">
        <v>21</v>
      </c>
      <c r="B6" t="s">
        <v>22</v>
      </c>
      <c r="C6" t="s">
        <v>23</v>
      </c>
      <c r="D6" t="s">
        <v>33</v>
      </c>
      <c r="E6" t="s">
        <v>30</v>
      </c>
      <c r="F6" t="s">
        <v>35</v>
      </c>
      <c r="G6" s="4">
        <v>66797.739029484204</v>
      </c>
      <c r="H6" s="3">
        <v>13.9361640564446</v>
      </c>
      <c r="I6" s="4">
        <v>66077.431705063194</v>
      </c>
      <c r="J6" s="3">
        <v>14.228861802849501</v>
      </c>
      <c r="K6" s="4">
        <v>64094.010203565202</v>
      </c>
      <c r="L6" s="3">
        <v>13.654940028615901</v>
      </c>
      <c r="M6">
        <v>13.4109406479289</v>
      </c>
      <c r="N6">
        <f t="shared" si="0"/>
        <v>-1.8194054175065071E-2</v>
      </c>
      <c r="Q6">
        <v>13.9005856378208</v>
      </c>
      <c r="R6">
        <f t="shared" si="1"/>
        <v>-2.5594906251286097E-3</v>
      </c>
      <c r="U6" s="1">
        <f t="shared" si="2"/>
        <v>-3.9163800832778428E-2</v>
      </c>
      <c r="V6" s="1"/>
      <c r="W6" s="1"/>
      <c r="X6">
        <f t="shared" si="3"/>
        <v>4.2183798725213932E-2</v>
      </c>
      <c r="Y6">
        <f t="shared" si="4"/>
        <v>3.0945504817042415E-2</v>
      </c>
      <c r="Z6">
        <f t="shared" si="5"/>
        <v>2.0595039395219141E-2</v>
      </c>
      <c r="AA6">
        <f t="shared" si="6"/>
        <v>4.2030340157544754E-2</v>
      </c>
    </row>
    <row r="7" spans="1:37" x14ac:dyDescent="0.25">
      <c r="A7" t="s">
        <v>21</v>
      </c>
      <c r="B7" t="s">
        <v>22</v>
      </c>
      <c r="C7" t="s">
        <v>36</v>
      </c>
      <c r="D7" t="s">
        <v>24</v>
      </c>
      <c r="E7" t="s">
        <v>24</v>
      </c>
      <c r="F7" t="s">
        <v>37</v>
      </c>
      <c r="G7" s="4">
        <v>24540.707921205099</v>
      </c>
      <c r="H7" s="3">
        <v>11.3350641179719</v>
      </c>
      <c r="I7" s="4">
        <v>16378.234233629501</v>
      </c>
      <c r="J7" s="3">
        <v>11.792780647995301</v>
      </c>
      <c r="K7" s="4">
        <v>6120.0580620436403</v>
      </c>
      <c r="L7" s="3">
        <v>15.167684856707</v>
      </c>
      <c r="M7">
        <v>15.167684856707</v>
      </c>
      <c r="N7">
        <f t="shared" si="0"/>
        <v>0</v>
      </c>
      <c r="Q7">
        <v>10.7420972924666</v>
      </c>
      <c r="R7">
        <f t="shared" si="1"/>
        <v>-5.5200284391498301E-2</v>
      </c>
      <c r="U7" s="1">
        <f t="shared" si="2"/>
        <v>0.25268330499630293</v>
      </c>
      <c r="V7" s="1"/>
      <c r="W7" s="1"/>
      <c r="X7">
        <f t="shared" si="3"/>
        <v>3.0098815521711475</v>
      </c>
      <c r="Y7">
        <f t="shared" si="4"/>
        <v>1.6761566749189301</v>
      </c>
      <c r="Z7">
        <f t="shared" si="5"/>
        <v>-0.25268330499630293</v>
      </c>
      <c r="AA7">
        <f t="shared" si="6"/>
        <v>-0.22250621901729123</v>
      </c>
    </row>
    <row r="8" spans="1:37" x14ac:dyDescent="0.25">
      <c r="A8" t="s">
        <v>21</v>
      </c>
      <c r="B8" t="s">
        <v>22</v>
      </c>
      <c r="C8" t="s">
        <v>36</v>
      </c>
      <c r="D8" t="s">
        <v>24</v>
      </c>
      <c r="E8" t="s">
        <v>28</v>
      </c>
      <c r="F8" t="s">
        <v>39</v>
      </c>
      <c r="G8" s="4">
        <v>56020.626101501999</v>
      </c>
      <c r="H8" s="3">
        <v>11.8465118260086</v>
      </c>
      <c r="I8" s="4">
        <v>54630.9266637615</v>
      </c>
      <c r="J8" s="3">
        <v>12.8882640676183</v>
      </c>
      <c r="K8" s="4">
        <v>51465.360558791697</v>
      </c>
      <c r="L8" s="3">
        <v>13.761375336962899</v>
      </c>
      <c r="M8">
        <v>12.9609321315987</v>
      </c>
      <c r="N8">
        <f t="shared" si="0"/>
        <v>-6.175815112963385E-2</v>
      </c>
      <c r="Q8">
        <v>11.8440696377353</v>
      </c>
      <c r="R8">
        <f t="shared" si="1"/>
        <v>-2.0619502822903196E-4</v>
      </c>
      <c r="U8" s="1">
        <f t="shared" si="2"/>
        <v>8.5983036889233269E-2</v>
      </c>
      <c r="V8" s="1"/>
      <c r="W8" s="1"/>
      <c r="X8">
        <f t="shared" si="3"/>
        <v>8.8511291735857422E-2</v>
      </c>
      <c r="Y8">
        <f t="shared" si="4"/>
        <v>6.1508674389905489E-2</v>
      </c>
      <c r="Z8">
        <f t="shared" si="5"/>
        <v>-0.13914768430238203</v>
      </c>
      <c r="AA8">
        <f t="shared" si="6"/>
        <v>-6.344651228278271E-2</v>
      </c>
    </row>
    <row r="9" spans="1:37" x14ac:dyDescent="0.25">
      <c r="A9" t="s">
        <v>21</v>
      </c>
      <c r="B9" t="s">
        <v>22</v>
      </c>
      <c r="C9" t="s">
        <v>36</v>
      </c>
      <c r="D9" t="s">
        <v>24</v>
      </c>
      <c r="E9" t="s">
        <v>30</v>
      </c>
      <c r="F9" t="s">
        <v>40</v>
      </c>
      <c r="G9" s="4">
        <v>67222.0544884314</v>
      </c>
      <c r="H9" s="3">
        <v>14.256108357800599</v>
      </c>
      <c r="I9" s="4">
        <v>65829.669563333402</v>
      </c>
      <c r="J9" s="3">
        <v>14.4369983873775</v>
      </c>
      <c r="K9" s="4">
        <v>62144.521060657004</v>
      </c>
      <c r="L9" s="3">
        <v>14.0771759287645</v>
      </c>
      <c r="M9">
        <v>13.076453047867799</v>
      </c>
      <c r="N9">
        <f t="shared" si="0"/>
        <v>-7.6528618061292658E-2</v>
      </c>
      <c r="Q9">
        <v>13.2868963538535</v>
      </c>
      <c r="R9">
        <f t="shared" si="1"/>
        <v>-7.2944951035612313E-2</v>
      </c>
      <c r="U9" s="1">
        <f t="shared" si="2"/>
        <v>-9.021217799769872E-2</v>
      </c>
      <c r="V9" s="1"/>
      <c r="W9" s="1"/>
      <c r="X9">
        <f t="shared" si="3"/>
        <v>8.1705246755677807E-2</v>
      </c>
      <c r="Y9">
        <f t="shared" si="4"/>
        <v>5.929965248391663E-2</v>
      </c>
      <c r="Z9">
        <f t="shared" si="5"/>
        <v>1.2710818557753363E-2</v>
      </c>
      <c r="AA9">
        <f t="shared" si="6"/>
        <v>2.5560699136945409E-2</v>
      </c>
    </row>
    <row r="10" spans="1:37" x14ac:dyDescent="0.25">
      <c r="A10" t="s">
        <v>21</v>
      </c>
      <c r="B10" t="s">
        <v>22</v>
      </c>
      <c r="C10" t="s">
        <v>36</v>
      </c>
      <c r="D10" t="s">
        <v>33</v>
      </c>
      <c r="E10" t="s">
        <v>28</v>
      </c>
      <c r="F10" t="s">
        <v>41</v>
      </c>
      <c r="G10" s="4">
        <v>58866.764662084199</v>
      </c>
      <c r="H10" s="3">
        <v>12.3511860720971</v>
      </c>
      <c r="I10" s="4">
        <v>50778.431911877196</v>
      </c>
      <c r="J10" s="3">
        <v>15.8868577230187</v>
      </c>
      <c r="K10" s="4">
        <v>46422.185180031804</v>
      </c>
      <c r="L10" s="3">
        <v>14.5716870461474</v>
      </c>
      <c r="M10">
        <v>14.4233049473973</v>
      </c>
      <c r="N10">
        <f t="shared" si="0"/>
        <v>-1.0287662868618413E-2</v>
      </c>
      <c r="Q10">
        <v>12.628019023375099</v>
      </c>
      <c r="R10">
        <f t="shared" si="1"/>
        <v>2.1922120228482986E-2</v>
      </c>
      <c r="U10" s="1">
        <f t="shared" si="2"/>
        <v>0.14366463739464344</v>
      </c>
      <c r="V10" s="1"/>
      <c r="W10" s="1"/>
      <c r="X10">
        <f t="shared" si="3"/>
        <v>0.2680739701026687</v>
      </c>
      <c r="Y10">
        <f t="shared" si="4"/>
        <v>9.3839760341984144E-2</v>
      </c>
      <c r="Z10">
        <f t="shared" si="5"/>
        <v>-0.15238461867991987</v>
      </c>
      <c r="AA10">
        <f t="shared" si="6"/>
        <v>9.0255210169300049E-2</v>
      </c>
    </row>
    <row r="11" spans="1:37" s="2" customFormat="1" ht="15.75" thickBot="1" x14ac:dyDescent="0.3">
      <c r="A11" s="2" t="s">
        <v>21</v>
      </c>
      <c r="B11" s="2" t="s">
        <v>22</v>
      </c>
      <c r="C11" s="2" t="s">
        <v>36</v>
      </c>
      <c r="D11" s="2" t="s">
        <v>33</v>
      </c>
      <c r="E11" s="2" t="s">
        <v>30</v>
      </c>
      <c r="F11" s="2" t="s">
        <v>42</v>
      </c>
      <c r="G11" s="4">
        <v>65938.6020030402</v>
      </c>
      <c r="H11" s="3">
        <v>14.109988232440999</v>
      </c>
      <c r="I11" s="4">
        <v>61905.918608010397</v>
      </c>
      <c r="J11" s="3">
        <v>14.193844693734899</v>
      </c>
      <c r="K11" s="4">
        <v>61235.737701158403</v>
      </c>
      <c r="L11" s="3">
        <v>13.659950891263399</v>
      </c>
      <c r="M11" s="2">
        <v>13.659950891263399</v>
      </c>
      <c r="N11" s="2">
        <f t="shared" si="0"/>
        <v>0</v>
      </c>
      <c r="Q11" s="2">
        <v>13.9326252808139</v>
      </c>
      <c r="R11" s="2">
        <f t="shared" si="1"/>
        <v>-1.2730045346969841E-2</v>
      </c>
      <c r="U11" s="1">
        <f t="shared" si="2"/>
        <v>-3.2945751032343304E-2</v>
      </c>
      <c r="V11" s="1"/>
      <c r="W11" s="1"/>
      <c r="X11" s="2">
        <f t="shared" si="3"/>
        <v>7.6799341012802599E-2</v>
      </c>
      <c r="Y11" s="2">
        <f t="shared" si="4"/>
        <v>1.0944277508709042E-2</v>
      </c>
      <c r="Z11" s="2">
        <f t="shared" si="5"/>
        <v>3.2945751032343304E-2</v>
      </c>
      <c r="AA11" s="2">
        <f t="shared" si="6"/>
        <v>3.908460628602746E-2</v>
      </c>
    </row>
    <row r="12" spans="1:37" x14ac:dyDescent="0.25">
      <c r="A12" t="s">
        <v>21</v>
      </c>
      <c r="B12" t="s">
        <v>43</v>
      </c>
      <c r="C12" t="s">
        <v>36</v>
      </c>
      <c r="D12" t="s">
        <v>24</v>
      </c>
      <c r="E12" t="s">
        <v>24</v>
      </c>
      <c r="F12" t="s">
        <v>44</v>
      </c>
      <c r="G12" s="4">
        <v>45050.108401396901</v>
      </c>
      <c r="H12" s="3">
        <v>16.475911668716499</v>
      </c>
      <c r="I12" s="4">
        <v>37624.457130628398</v>
      </c>
      <c r="J12" s="3">
        <v>15.9864021408879</v>
      </c>
      <c r="K12" s="4">
        <v>42773.102945004197</v>
      </c>
      <c r="L12" s="3">
        <v>16.015126491678501</v>
      </c>
      <c r="M12">
        <v>16.015126491678501</v>
      </c>
      <c r="N12">
        <f t="shared" si="0"/>
        <v>0</v>
      </c>
      <c r="Q12">
        <v>16.475911668716499</v>
      </c>
      <c r="R12">
        <f t="shared" si="1"/>
        <v>0</v>
      </c>
      <c r="S12">
        <f>MEDIAN(R12:R16)</f>
        <v>6.5206803863632826E-2</v>
      </c>
      <c r="T12" s="1">
        <f>AVERAGE(R12:R16)</f>
        <v>5.4426262382117729E-2</v>
      </c>
      <c r="U12" s="1">
        <f t="shared" si="2"/>
        <v>-2.8771872471779925E-2</v>
      </c>
      <c r="V12" s="1"/>
      <c r="W12" s="1"/>
      <c r="X12">
        <f t="shared" si="3"/>
        <v>5.3234516544670124E-2</v>
      </c>
      <c r="Y12">
        <f t="shared" si="4"/>
        <v>-0.12037110847430697</v>
      </c>
      <c r="Z12">
        <f t="shared" si="5"/>
        <v>2.8771872471779925E-2</v>
      </c>
      <c r="AA12">
        <f t="shared" si="6"/>
        <v>-1.7935762671325627E-3</v>
      </c>
    </row>
    <row r="13" spans="1:37" x14ac:dyDescent="0.25">
      <c r="A13" t="s">
        <v>21</v>
      </c>
      <c r="B13" t="s">
        <v>43</v>
      </c>
      <c r="C13" t="s">
        <v>36</v>
      </c>
      <c r="D13" t="s">
        <v>24</v>
      </c>
      <c r="E13" t="s">
        <v>28</v>
      </c>
      <c r="F13" t="s">
        <v>46</v>
      </c>
      <c r="G13" s="4">
        <v>67630.182887763207</v>
      </c>
      <c r="H13" s="3">
        <v>12.343937813118</v>
      </c>
      <c r="I13" s="4">
        <v>67866.9062736747</v>
      </c>
      <c r="J13" s="3">
        <v>13.884881116433601</v>
      </c>
      <c r="K13" s="4">
        <v>67870.318422118595</v>
      </c>
      <c r="L13" s="3">
        <v>13.5400339572644</v>
      </c>
      <c r="M13">
        <v>13.5400339572644</v>
      </c>
      <c r="N13">
        <f t="shared" si="0"/>
        <v>0</v>
      </c>
      <c r="Q13">
        <v>13.592717129549699</v>
      </c>
      <c r="R13">
        <f t="shared" si="1"/>
        <v>9.1871206067912117E-2</v>
      </c>
      <c r="U13" s="1">
        <f t="shared" si="2"/>
        <v>8.8337750697048995E-2</v>
      </c>
      <c r="V13" s="1"/>
      <c r="W13" s="1"/>
      <c r="X13">
        <f t="shared" si="3"/>
        <v>-3.5381524639661751E-3</v>
      </c>
      <c r="Y13">
        <f t="shared" si="4"/>
        <v>-5.0274531241667071E-5</v>
      </c>
      <c r="Z13">
        <f t="shared" si="5"/>
        <v>-8.8337750697048995E-2</v>
      </c>
      <c r="AA13">
        <f t="shared" si="6"/>
        <v>2.5468707113853677E-2</v>
      </c>
    </row>
    <row r="14" spans="1:37" x14ac:dyDescent="0.25">
      <c r="A14" t="s">
        <v>21</v>
      </c>
      <c r="B14" t="s">
        <v>43</v>
      </c>
      <c r="C14" t="s">
        <v>36</v>
      </c>
      <c r="D14" t="s">
        <v>24</v>
      </c>
      <c r="E14" t="s">
        <v>30</v>
      </c>
      <c r="F14" t="s">
        <v>47</v>
      </c>
      <c r="G14" s="4">
        <v>60085.237989855799</v>
      </c>
      <c r="H14" s="3">
        <v>13.7313714806109</v>
      </c>
      <c r="I14" s="4">
        <v>66283.443681410194</v>
      </c>
      <c r="J14" s="3">
        <v>14.832390186464201</v>
      </c>
      <c r="K14" s="4">
        <v>66542.617097432798</v>
      </c>
      <c r="L14" s="3">
        <v>14.437784810750401</v>
      </c>
      <c r="M14">
        <v>14.437784810750401</v>
      </c>
      <c r="N14">
        <f t="shared" si="0"/>
        <v>0</v>
      </c>
      <c r="Q14">
        <v>14.689207770622</v>
      </c>
      <c r="R14">
        <f t="shared" si="1"/>
        <v>6.5206803863632826E-2</v>
      </c>
      <c r="U14" s="1">
        <f t="shared" si="2"/>
        <v>4.8928096615867576E-2</v>
      </c>
      <c r="V14" s="1"/>
      <c r="W14" s="1"/>
      <c r="X14">
        <f t="shared" si="3"/>
        <v>-9.7041255502800516E-2</v>
      </c>
      <c r="Y14">
        <f t="shared" si="4"/>
        <v>-3.8948485546205407E-3</v>
      </c>
      <c r="Z14">
        <f t="shared" si="5"/>
        <v>-4.8928096615867576E-2</v>
      </c>
      <c r="AA14">
        <f t="shared" si="6"/>
        <v>2.7331434904056477E-2</v>
      </c>
    </row>
    <row r="15" spans="1:37" x14ac:dyDescent="0.25">
      <c r="A15" t="s">
        <v>21</v>
      </c>
      <c r="B15" t="s">
        <v>43</v>
      </c>
      <c r="C15" t="s">
        <v>36</v>
      </c>
      <c r="D15" t="s">
        <v>33</v>
      </c>
      <c r="E15" t="s">
        <v>28</v>
      </c>
      <c r="F15" t="s">
        <v>48</v>
      </c>
      <c r="G15" s="4">
        <v>64062.218053563898</v>
      </c>
      <c r="H15" s="3">
        <v>12.1690818022829</v>
      </c>
      <c r="I15" s="4">
        <v>62747.8855294186</v>
      </c>
      <c r="J15" s="3">
        <v>13.7005795861738</v>
      </c>
      <c r="K15" s="4">
        <v>62314.070974214897</v>
      </c>
      <c r="L15" s="3">
        <v>13.326399747305199</v>
      </c>
      <c r="M15">
        <v>13.326399747305199</v>
      </c>
      <c r="N15">
        <f t="shared" si="0"/>
        <v>0</v>
      </c>
      <c r="Q15">
        <v>13.6706017359678</v>
      </c>
      <c r="R15">
        <f t="shared" si="1"/>
        <v>0.10983568702278497</v>
      </c>
      <c r="U15" s="1">
        <f t="shared" si="2"/>
        <v>8.6844006405880678E-2</v>
      </c>
      <c r="V15" s="1"/>
      <c r="W15" s="1"/>
      <c r="X15">
        <f t="shared" si="3"/>
        <v>2.8053809549248854E-2</v>
      </c>
      <c r="Y15">
        <f t="shared" si="4"/>
        <v>6.9617431251315842E-3</v>
      </c>
      <c r="Z15">
        <f t="shared" si="5"/>
        <v>-8.6844006405880678E-2</v>
      </c>
      <c r="AA15">
        <f t="shared" si="6"/>
        <v>2.8078089053591982E-2</v>
      </c>
    </row>
    <row r="16" spans="1:37" s="2" customFormat="1" ht="15.75" thickBot="1" x14ac:dyDescent="0.3">
      <c r="A16" s="2" t="s">
        <v>21</v>
      </c>
      <c r="B16" s="2" t="s">
        <v>43</v>
      </c>
      <c r="C16" s="2" t="s">
        <v>36</v>
      </c>
      <c r="D16" s="2" t="s">
        <v>33</v>
      </c>
      <c r="E16" s="2" t="s">
        <v>30</v>
      </c>
      <c r="F16" s="2" t="s">
        <v>49</v>
      </c>
      <c r="G16" s="4">
        <v>69058.708908109998</v>
      </c>
      <c r="H16" s="3">
        <v>14.3062356957509</v>
      </c>
      <c r="I16" s="4">
        <v>66254.579459558998</v>
      </c>
      <c r="J16" s="3">
        <v>14.598428104277399</v>
      </c>
      <c r="K16" s="4">
        <v>68190.440363490605</v>
      </c>
      <c r="L16" s="3">
        <v>13.972592886696001</v>
      </c>
      <c r="M16" s="2">
        <v>13.972592886696001</v>
      </c>
      <c r="N16" s="2">
        <f t="shared" si="0"/>
        <v>0</v>
      </c>
      <c r="Q16" s="2">
        <v>14.381271633717001</v>
      </c>
      <c r="R16" s="2">
        <f t="shared" si="1"/>
        <v>5.2176149562587117E-3</v>
      </c>
      <c r="U16" s="1">
        <f t="shared" si="2"/>
        <v>-2.3878374741210469E-2</v>
      </c>
      <c r="V16" s="1"/>
      <c r="W16" s="1"/>
      <c r="X16" s="2">
        <f t="shared" si="3"/>
        <v>1.2732995123525666E-2</v>
      </c>
      <c r="Y16" s="2">
        <f t="shared" si="4"/>
        <v>-2.838903655134736E-2</v>
      </c>
      <c r="Z16" s="2">
        <f t="shared" si="5"/>
        <v>2.3878374741210469E-2</v>
      </c>
      <c r="AA16" s="2">
        <f t="shared" si="6"/>
        <v>4.4790199117394125E-2</v>
      </c>
    </row>
    <row r="17" spans="1:37" x14ac:dyDescent="0.25">
      <c r="A17" t="s">
        <v>50</v>
      </c>
      <c r="B17" t="s">
        <v>22</v>
      </c>
      <c r="C17" t="s">
        <v>23</v>
      </c>
      <c r="D17" t="s">
        <v>24</v>
      </c>
      <c r="E17" t="s">
        <v>24</v>
      </c>
      <c r="F17" t="s">
        <v>51</v>
      </c>
      <c r="G17" s="4">
        <v>1105358.5369289999</v>
      </c>
      <c r="H17" s="3">
        <v>15.9095488188504</v>
      </c>
      <c r="I17" s="4">
        <v>1099118.84646108</v>
      </c>
      <c r="J17" s="3">
        <v>15.7365539842953</v>
      </c>
      <c r="K17" s="4">
        <v>1101627.7201078699</v>
      </c>
      <c r="L17" s="3">
        <v>15.990136379000299</v>
      </c>
      <c r="M17">
        <v>15.4576741382881</v>
      </c>
      <c r="N17">
        <f>(M17-L17)/M17</f>
        <v>-3.4446465616279849E-2</v>
      </c>
      <c r="O17" s="1">
        <f>AVERAGE(N17:N26)</f>
        <v>-3.8623579583955563E-2</v>
      </c>
      <c r="P17" s="1">
        <f>MEDIAN(N17:N26)</f>
        <v>-3.7744008395939256E-2</v>
      </c>
      <c r="Q17">
        <v>15.398266863925199</v>
      </c>
      <c r="R17">
        <f t="shared" si="1"/>
        <v>-3.3203863749304369E-2</v>
      </c>
      <c r="S17" s="1">
        <f>MEDIAN(R17:R31)</f>
        <v>-4.664545508196264E-2</v>
      </c>
      <c r="T17" s="1">
        <f>AVERAGE(R17:R31)</f>
        <v>-4.9614356904038065E-2</v>
      </c>
      <c r="U17" s="1">
        <f t="shared" si="2"/>
        <v>-2.9233031859755843E-2</v>
      </c>
      <c r="V17" s="1">
        <f>MEDIAN(U17:U31)</f>
        <v>-4.4517668020024076E-2</v>
      </c>
      <c r="W17" s="1">
        <f>AVERAGE(U17:U31)</f>
        <v>-4.725604009511284E-2</v>
      </c>
      <c r="X17">
        <f>(G17-K17)/K17</f>
        <v>3.3866402896658011E-3</v>
      </c>
      <c r="Y17">
        <f t="shared" si="4"/>
        <v>-2.2774242159994515E-3</v>
      </c>
      <c r="Z17">
        <f t="shared" si="5"/>
        <v>-5.0398294448403972E-3</v>
      </c>
      <c r="AA17">
        <f t="shared" si="6"/>
        <v>-1.5858676167266876E-2</v>
      </c>
      <c r="AC17">
        <f>AVERAGE(X17:X31)</f>
        <v>2.6405134448718027E-3</v>
      </c>
      <c r="AD17">
        <f>MEDIAN(X17:X31)</f>
        <v>1.0753528558587533E-3</v>
      </c>
      <c r="AE17">
        <f>AVERAGE(Z17:Z31)</f>
        <v>2.1028424355728662E-2</v>
      </c>
      <c r="AF17">
        <f>MEDIAN(Z17:Z31)</f>
        <v>1.8164048564466514E-2</v>
      </c>
      <c r="AH17">
        <f>AVERAGE(Y17:Y31)</f>
        <v>2.4416664236232054E-3</v>
      </c>
      <c r="AI17">
        <f>MEDIAN(Y17:Y31)</f>
        <v>1.2249541634813824E-3</v>
      </c>
      <c r="AJ17">
        <f>AVERAGE(AA17:AA31)</f>
        <v>2.586600600458084E-2</v>
      </c>
      <c r="AK17">
        <f>MEDIAN(AA17:AA31)</f>
        <v>2.407264682768517E-2</v>
      </c>
    </row>
    <row r="18" spans="1:37" x14ac:dyDescent="0.25">
      <c r="A18" t="s">
        <v>50</v>
      </c>
      <c r="B18" t="s">
        <v>22</v>
      </c>
      <c r="C18" t="s">
        <v>23</v>
      </c>
      <c r="D18" t="s">
        <v>24</v>
      </c>
      <c r="E18" t="s">
        <v>28</v>
      </c>
      <c r="F18" t="s">
        <v>52</v>
      </c>
      <c r="G18" s="4">
        <v>1127267.7670737801</v>
      </c>
      <c r="H18" s="3">
        <v>17.092134008535599</v>
      </c>
      <c r="I18" s="4">
        <v>1123664.0962704699</v>
      </c>
      <c r="J18" s="3">
        <v>17.0024001666857</v>
      </c>
      <c r="K18" s="4">
        <v>1125120.42059954</v>
      </c>
      <c r="L18" s="3">
        <v>16.6027285460214</v>
      </c>
      <c r="M18">
        <v>15.6242076852262</v>
      </c>
      <c r="N18">
        <f t="shared" si="0"/>
        <v>-6.262851086653573E-2</v>
      </c>
      <c r="P18" s="1"/>
      <c r="Q18">
        <v>15.4816207516731</v>
      </c>
      <c r="R18">
        <f t="shared" si="1"/>
        <v>-0.10402743244362514</v>
      </c>
      <c r="U18" s="1">
        <f t="shared" si="2"/>
        <v>-9.3952048825965612E-2</v>
      </c>
      <c r="V18" s="1"/>
      <c r="W18" s="1"/>
      <c r="X18">
        <f t="shared" si="3"/>
        <v>1.9085481295378298E-3</v>
      </c>
      <c r="Y18">
        <f t="shared" si="4"/>
        <v>-1.2943719644640532E-3</v>
      </c>
      <c r="Z18">
        <f t="shared" si="5"/>
        <v>2.9477411568683262E-2</v>
      </c>
      <c r="AA18">
        <f t="shared" si="6"/>
        <v>2.407264682768517E-2</v>
      </c>
    </row>
    <row r="19" spans="1:37" x14ac:dyDescent="0.25">
      <c r="A19" t="s">
        <v>50</v>
      </c>
      <c r="B19" t="s">
        <v>22</v>
      </c>
      <c r="C19" t="s">
        <v>23</v>
      </c>
      <c r="D19" t="s">
        <v>24</v>
      </c>
      <c r="E19" t="s">
        <v>30</v>
      </c>
      <c r="F19" t="s">
        <v>53</v>
      </c>
      <c r="G19" s="4">
        <v>1131272.57939847</v>
      </c>
      <c r="H19" s="3">
        <v>16.794365527208601</v>
      </c>
      <c r="I19" s="4">
        <v>1130303.4826605101</v>
      </c>
      <c r="J19" s="3">
        <v>16.963401613349902</v>
      </c>
      <c r="K19" s="4">
        <v>1131559.4398882301</v>
      </c>
      <c r="L19" s="3">
        <v>16.671980749979401</v>
      </c>
      <c r="M19">
        <v>15.903913681597899</v>
      </c>
      <c r="N19">
        <f t="shared" si="0"/>
        <v>-4.8294217622057184E-2</v>
      </c>
      <c r="Q19">
        <v>16.0132161808056</v>
      </c>
      <c r="R19">
        <f t="shared" si="1"/>
        <v>-4.878154004686041E-2</v>
      </c>
      <c r="U19" s="1">
        <f t="shared" si="2"/>
        <v>-5.5989479284022148E-2</v>
      </c>
      <c r="V19" s="1"/>
      <c r="W19" s="1"/>
      <c r="X19">
        <f t="shared" si="3"/>
        <v>-2.5350898914191779E-4</v>
      </c>
      <c r="Y19">
        <f t="shared" si="4"/>
        <v>-1.1099348239664768E-3</v>
      </c>
      <c r="Z19">
        <f t="shared" si="5"/>
        <v>7.3407460735792655E-3</v>
      </c>
      <c r="AA19">
        <f t="shared" si="6"/>
        <v>1.7479678494162185E-2</v>
      </c>
    </row>
    <row r="20" spans="1:37" x14ac:dyDescent="0.25">
      <c r="A20" t="s">
        <v>50</v>
      </c>
      <c r="B20" t="s">
        <v>22</v>
      </c>
      <c r="C20" t="s">
        <v>23</v>
      </c>
      <c r="D20" t="s">
        <v>33</v>
      </c>
      <c r="E20" t="s">
        <v>28</v>
      </c>
      <c r="F20" t="s">
        <v>54</v>
      </c>
      <c r="G20" s="4">
        <v>1123379.35811205</v>
      </c>
      <c r="H20" s="3">
        <v>17.0571425343961</v>
      </c>
      <c r="I20" s="4">
        <v>1125758.47219545</v>
      </c>
      <c r="J20" s="3">
        <v>17.0769695090525</v>
      </c>
      <c r="K20" s="4">
        <v>1124243.4673906199</v>
      </c>
      <c r="L20" s="3">
        <v>16.744021735642601</v>
      </c>
      <c r="M20">
        <v>15.5429726449079</v>
      </c>
      <c r="N20">
        <f t="shared" si="0"/>
        <v>-7.7272804769953823E-2</v>
      </c>
      <c r="Q20">
        <v>15.491167541801801</v>
      </c>
      <c r="R20">
        <f t="shared" si="1"/>
        <v>-0.10108824840791555</v>
      </c>
      <c r="U20" s="1">
        <f t="shared" si="2"/>
        <v>-9.7418294690511664E-2</v>
      </c>
      <c r="V20" s="1"/>
      <c r="W20" s="1"/>
      <c r="X20">
        <f t="shared" si="3"/>
        <v>-7.6861400900601667E-4</v>
      </c>
      <c r="Y20">
        <f t="shared" si="4"/>
        <v>1.3475771474540188E-3</v>
      </c>
      <c r="Z20">
        <f t="shared" si="5"/>
        <v>1.8700453433297074E-2</v>
      </c>
      <c r="AA20">
        <f t="shared" si="6"/>
        <v>1.9884576039528225E-2</v>
      </c>
    </row>
    <row r="21" spans="1:37" x14ac:dyDescent="0.25">
      <c r="A21" t="s">
        <v>50</v>
      </c>
      <c r="B21" t="s">
        <v>22</v>
      </c>
      <c r="C21" t="s">
        <v>23</v>
      </c>
      <c r="D21" t="s">
        <v>33</v>
      </c>
      <c r="E21" t="s">
        <v>30</v>
      </c>
      <c r="F21" t="s">
        <v>55</v>
      </c>
      <c r="G21" s="4">
        <v>1134988.62055926</v>
      </c>
      <c r="H21" s="3">
        <v>17.073138118022701</v>
      </c>
      <c r="I21" s="4">
        <v>1134488.6811812399</v>
      </c>
      <c r="J21" s="3">
        <v>17.075345524454999</v>
      </c>
      <c r="K21" s="4">
        <v>1132381.19953667</v>
      </c>
      <c r="L21" s="3">
        <v>16.641340452824</v>
      </c>
      <c r="M21">
        <v>16.147888694241502</v>
      </c>
      <c r="N21">
        <f t="shared" si="0"/>
        <v>-3.0558283372269485E-2</v>
      </c>
      <c r="Q21">
        <v>16.193713846311901</v>
      </c>
      <c r="R21">
        <f t="shared" si="1"/>
        <v>-5.430652165754353E-2</v>
      </c>
      <c r="U21" s="1">
        <f t="shared" si="2"/>
        <v>-5.7298476680183744E-2</v>
      </c>
      <c r="V21" s="1"/>
      <c r="W21" s="1"/>
      <c r="X21">
        <f t="shared" si="3"/>
        <v>2.3026000640569452E-3</v>
      </c>
      <c r="Y21">
        <f t="shared" si="4"/>
        <v>1.8611061764644296E-3</v>
      </c>
      <c r="Z21">
        <f t="shared" si="5"/>
        <v>2.5947288706867713E-2</v>
      </c>
      <c r="AA21">
        <f t="shared" si="6"/>
        <v>2.6079934657988992E-2</v>
      </c>
    </row>
    <row r="22" spans="1:37" x14ac:dyDescent="0.25">
      <c r="A22" t="s">
        <v>50</v>
      </c>
      <c r="B22" t="s">
        <v>22</v>
      </c>
      <c r="C22" t="s">
        <v>36</v>
      </c>
      <c r="D22" t="s">
        <v>24</v>
      </c>
      <c r="E22" t="s">
        <v>24</v>
      </c>
      <c r="F22" t="s">
        <v>56</v>
      </c>
      <c r="G22" s="4">
        <v>1114802.9109221401</v>
      </c>
      <c r="H22" s="3">
        <v>16.663191976478799</v>
      </c>
      <c r="I22" s="4">
        <v>1114809.9065916699</v>
      </c>
      <c r="J22" s="3">
        <v>16.891219441544301</v>
      </c>
      <c r="K22" s="4">
        <v>1094260.8200433301</v>
      </c>
      <c r="L22" s="3">
        <v>15.352396596222899</v>
      </c>
      <c r="M22">
        <v>15.352396596222899</v>
      </c>
      <c r="N22">
        <f t="shared" si="0"/>
        <v>0</v>
      </c>
      <c r="Q22">
        <v>15.4382521224288</v>
      </c>
      <c r="R22">
        <f t="shared" si="1"/>
        <v>-7.9344464926207448E-2</v>
      </c>
      <c r="U22" s="1">
        <f t="shared" si="2"/>
        <v>-8.5380505384963223E-2</v>
      </c>
      <c r="V22" s="1"/>
      <c r="W22" s="1"/>
      <c r="X22">
        <f t="shared" si="3"/>
        <v>1.8772572774739954E-2</v>
      </c>
      <c r="Y22">
        <f t="shared" si="4"/>
        <v>1.8778965829669488E-2</v>
      </c>
      <c r="Z22">
        <f t="shared" si="5"/>
        <v>8.5380505384963223E-2</v>
      </c>
      <c r="AA22">
        <f t="shared" si="6"/>
        <v>0.10023339585299623</v>
      </c>
    </row>
    <row r="23" spans="1:37" x14ac:dyDescent="0.25">
      <c r="A23" t="s">
        <v>50</v>
      </c>
      <c r="B23" t="s">
        <v>22</v>
      </c>
      <c r="C23" t="s">
        <v>36</v>
      </c>
      <c r="D23" t="s">
        <v>24</v>
      </c>
      <c r="E23" t="s">
        <v>28</v>
      </c>
      <c r="F23" t="s">
        <v>57</v>
      </c>
      <c r="G23" s="4">
        <v>1125325.1502897199</v>
      </c>
      <c r="H23" s="3">
        <v>16.760070390024399</v>
      </c>
      <c r="I23" s="4">
        <v>1127845.15689561</v>
      </c>
      <c r="J23" s="3">
        <v>16.735773545991702</v>
      </c>
      <c r="K23" s="4">
        <v>1118952.0954529401</v>
      </c>
      <c r="L23" s="3">
        <v>16.4182366648959</v>
      </c>
      <c r="M23">
        <v>16.169342701431699</v>
      </c>
      <c r="N23">
        <f t="shared" si="0"/>
        <v>-1.5392954930824954E-2</v>
      </c>
      <c r="Q23">
        <v>16.0131306247462</v>
      </c>
      <c r="R23">
        <f t="shared" si="1"/>
        <v>-4.664545508196264E-2</v>
      </c>
      <c r="U23" s="1">
        <f t="shared" si="2"/>
        <v>-3.65338096606979E-2</v>
      </c>
      <c r="V23" s="1"/>
      <c r="W23" s="1"/>
      <c r="X23">
        <f t="shared" si="3"/>
        <v>5.6955564609761844E-3</v>
      </c>
      <c r="Y23">
        <f t="shared" si="4"/>
        <v>7.9476695014991938E-3</v>
      </c>
      <c r="Z23">
        <f t="shared" si="5"/>
        <v>2.0820367747492588E-2</v>
      </c>
      <c r="AA23">
        <f t="shared" si="6"/>
        <v>1.9340498469895492E-2</v>
      </c>
    </row>
    <row r="24" spans="1:37" x14ac:dyDescent="0.25">
      <c r="A24" t="s">
        <v>50</v>
      </c>
      <c r="B24" t="s">
        <v>22</v>
      </c>
      <c r="C24" t="s">
        <v>36</v>
      </c>
      <c r="D24" t="s">
        <v>24</v>
      </c>
      <c r="E24" t="s">
        <v>30</v>
      </c>
      <c r="F24" t="s">
        <v>58</v>
      </c>
      <c r="G24" s="4">
        <v>1131318.88223722</v>
      </c>
      <c r="H24" s="3">
        <v>16.881671721502599</v>
      </c>
      <c r="I24" s="4">
        <v>1132728.60846457</v>
      </c>
      <c r="J24" s="3">
        <v>17.082438035314102</v>
      </c>
      <c r="K24" s="4">
        <v>1130103.6220798001</v>
      </c>
      <c r="L24" s="3">
        <v>16.5752200418763</v>
      </c>
      <c r="M24">
        <v>16.1621696198814</v>
      </c>
      <c r="N24">
        <f t="shared" si="0"/>
        <v>-2.5556619668611707E-2</v>
      </c>
      <c r="Q24">
        <v>16.1331928899722</v>
      </c>
      <c r="R24">
        <f t="shared" si="1"/>
        <v>-4.6393719869030119E-2</v>
      </c>
      <c r="U24" s="1">
        <f t="shared" si="2"/>
        <v>-4.4517668020024076E-2</v>
      </c>
      <c r="V24" s="1"/>
      <c r="W24" s="1"/>
      <c r="X24">
        <f t="shared" si="3"/>
        <v>1.0753528558587533E-3</v>
      </c>
      <c r="Y24">
        <f t="shared" si="4"/>
        <v>2.3227837991873484E-3</v>
      </c>
      <c r="Z24">
        <f t="shared" si="5"/>
        <v>1.8488543672546577E-2</v>
      </c>
      <c r="AA24">
        <f t="shared" si="6"/>
        <v>3.0600980991887058E-2</v>
      </c>
    </row>
    <row r="25" spans="1:37" x14ac:dyDescent="0.25">
      <c r="A25" t="s">
        <v>50</v>
      </c>
      <c r="B25" t="s">
        <v>22</v>
      </c>
      <c r="C25" t="s">
        <v>36</v>
      </c>
      <c r="D25" t="s">
        <v>33</v>
      </c>
      <c r="E25" t="s">
        <v>28</v>
      </c>
      <c r="F25" t="s">
        <v>59</v>
      </c>
      <c r="G25" s="4">
        <v>1128085.87173122</v>
      </c>
      <c r="H25" s="3">
        <v>16.761266473251101</v>
      </c>
      <c r="I25" s="4">
        <v>1131538.90667265</v>
      </c>
      <c r="J25" s="3">
        <v>16.996926021370001</v>
      </c>
      <c r="K25" s="4">
        <v>1121655.09901335</v>
      </c>
      <c r="L25" s="3">
        <v>16.509036778613801</v>
      </c>
      <c r="M25">
        <v>15.707268855596199</v>
      </c>
      <c r="N25">
        <f t="shared" si="0"/>
        <v>-5.1044387817424236E-2</v>
      </c>
      <c r="Q25">
        <v>15.572016329820899</v>
      </c>
      <c r="R25">
        <f t="shared" si="1"/>
        <v>-7.6370979726803331E-2</v>
      </c>
      <c r="U25" s="1">
        <f t="shared" si="2"/>
        <v>-6.710253878919141E-2</v>
      </c>
      <c r="V25" s="1"/>
      <c r="W25" s="1"/>
      <c r="X25">
        <f t="shared" si="3"/>
        <v>5.7332888902540749E-3</v>
      </c>
      <c r="Y25">
        <f t="shared" si="4"/>
        <v>8.8118064706291747E-3</v>
      </c>
      <c r="Z25">
        <f t="shared" si="5"/>
        <v>1.5278280496900021E-2</v>
      </c>
      <c r="AA25">
        <f t="shared" si="6"/>
        <v>2.9552859400508658E-2</v>
      </c>
    </row>
    <row r="26" spans="1:37" s="2" customFormat="1" ht="15.75" thickBot="1" x14ac:dyDescent="0.3">
      <c r="A26" s="2" t="s">
        <v>50</v>
      </c>
      <c r="B26" s="2" t="s">
        <v>22</v>
      </c>
      <c r="C26" s="2" t="s">
        <v>36</v>
      </c>
      <c r="D26" s="2" t="s">
        <v>33</v>
      </c>
      <c r="E26" s="2" t="s">
        <v>30</v>
      </c>
      <c r="F26" s="2" t="s">
        <v>60</v>
      </c>
      <c r="G26" s="4">
        <v>1135587.7684563899</v>
      </c>
      <c r="H26" s="3">
        <v>17.272214290126801</v>
      </c>
      <c r="I26" s="4">
        <v>1133382.9569941</v>
      </c>
      <c r="J26" s="3">
        <v>17.0704173727046</v>
      </c>
      <c r="K26" s="4">
        <v>1131471.7316916501</v>
      </c>
      <c r="L26" s="3">
        <v>16.7258729856052</v>
      </c>
      <c r="M26" s="2">
        <v>16.066479735335701</v>
      </c>
      <c r="N26" s="2">
        <f t="shared" si="0"/>
        <v>-4.1041551175598663E-2</v>
      </c>
      <c r="Q26" s="2">
        <v>16.1268174649332</v>
      </c>
      <c r="R26" s="2">
        <f t="shared" si="1"/>
        <v>-7.102435602586793E-2</v>
      </c>
      <c r="U26" s="1">
        <f t="shared" si="2"/>
        <v>-7.5046592324719136E-2</v>
      </c>
      <c r="V26" s="1"/>
      <c r="W26" s="1"/>
      <c r="X26" s="2">
        <f t="shared" si="3"/>
        <v>3.6377725129605682E-3</v>
      </c>
      <c r="Y26" s="2">
        <f t="shared" si="4"/>
        <v>1.6891498469806601E-3</v>
      </c>
      <c r="Z26" s="2">
        <f t="shared" si="5"/>
        <v>3.2664441789782749E-2</v>
      </c>
      <c r="AA26" s="2">
        <f t="shared" si="6"/>
        <v>2.0599486041531345E-2</v>
      </c>
    </row>
    <row r="27" spans="1:37" x14ac:dyDescent="0.25">
      <c r="A27" t="s">
        <v>50</v>
      </c>
      <c r="B27" t="s">
        <v>43</v>
      </c>
      <c r="C27" t="s">
        <v>36</v>
      </c>
      <c r="D27" t="s">
        <v>24</v>
      </c>
      <c r="E27" t="s">
        <v>24</v>
      </c>
      <c r="F27" t="s">
        <v>61</v>
      </c>
      <c r="G27" s="4">
        <v>1124970.00601628</v>
      </c>
      <c r="H27" s="3">
        <v>16.9688229530875</v>
      </c>
      <c r="I27" s="4">
        <v>1128197.70129773</v>
      </c>
      <c r="J27" s="3">
        <v>17.0926565787348</v>
      </c>
      <c r="K27" s="4">
        <v>1126817.4016301199</v>
      </c>
      <c r="L27" s="3">
        <v>16.823749290839299</v>
      </c>
      <c r="M27">
        <v>16.823749290839299</v>
      </c>
      <c r="N27">
        <f t="shared" si="0"/>
        <v>0</v>
      </c>
      <c r="Q27">
        <v>16.643566530384302</v>
      </c>
      <c r="R27">
        <f t="shared" si="1"/>
        <v>-1.9542471387332387E-2</v>
      </c>
      <c r="U27" s="1">
        <f t="shared" si="2"/>
        <v>-8.6231469418766981E-3</v>
      </c>
      <c r="V27" s="1"/>
      <c r="W27" s="1"/>
      <c r="X27">
        <f t="shared" si="3"/>
        <v>-1.6394809053954078E-3</v>
      </c>
      <c r="Y27">
        <f t="shared" si="4"/>
        <v>1.2249541634813824E-3</v>
      </c>
      <c r="Z27">
        <f t="shared" si="5"/>
        <v>8.6231469418766981E-3</v>
      </c>
      <c r="AA27">
        <f t="shared" si="6"/>
        <v>1.5983790726239865E-2</v>
      </c>
    </row>
    <row r="28" spans="1:37" x14ac:dyDescent="0.25">
      <c r="A28" t="s">
        <v>50</v>
      </c>
      <c r="B28" t="s">
        <v>43</v>
      </c>
      <c r="C28" t="s">
        <v>36</v>
      </c>
      <c r="D28" t="s">
        <v>24</v>
      </c>
      <c r="E28" t="s">
        <v>28</v>
      </c>
      <c r="F28" t="s">
        <v>62</v>
      </c>
      <c r="G28" s="4">
        <v>1136702.0338214601</v>
      </c>
      <c r="H28" s="3">
        <v>17.042343202310001</v>
      </c>
      <c r="I28" s="4">
        <v>1137928.5468478999</v>
      </c>
      <c r="J28" s="3">
        <v>17.366880808037902</v>
      </c>
      <c r="K28" s="4">
        <v>1138229.86214269</v>
      </c>
      <c r="L28" s="3">
        <v>16.948829301457401</v>
      </c>
      <c r="M28">
        <v>16.948829301457401</v>
      </c>
      <c r="N28">
        <f t="shared" si="0"/>
        <v>0</v>
      </c>
      <c r="Q28">
        <v>16.990660311390702</v>
      </c>
      <c r="R28">
        <f t="shared" si="1"/>
        <v>-3.0418412217122649E-3</v>
      </c>
      <c r="U28" s="1">
        <f t="shared" si="2"/>
        <v>-5.5174253743034782E-3</v>
      </c>
      <c r="V28" s="1"/>
      <c r="W28" s="1"/>
      <c r="X28">
        <f t="shared" si="3"/>
        <v>-1.3422845174293702E-3</v>
      </c>
      <c r="Y28">
        <f t="shared" si="4"/>
        <v>-2.6472271094949394E-4</v>
      </c>
      <c r="Z28">
        <f t="shared" si="5"/>
        <v>5.5174253743034782E-3</v>
      </c>
      <c r="AA28">
        <f t="shared" si="6"/>
        <v>2.466550928945593E-2</v>
      </c>
    </row>
    <row r="29" spans="1:37" x14ac:dyDescent="0.25">
      <c r="A29" t="s">
        <v>50</v>
      </c>
      <c r="B29" t="s">
        <v>43</v>
      </c>
      <c r="C29" t="s">
        <v>36</v>
      </c>
      <c r="D29" t="s">
        <v>24</v>
      </c>
      <c r="E29" t="s">
        <v>30</v>
      </c>
      <c r="F29" t="s">
        <v>63</v>
      </c>
      <c r="G29" s="4">
        <v>1138356.3356956299</v>
      </c>
      <c r="H29" s="3">
        <v>17.300797634575499</v>
      </c>
      <c r="I29" s="4">
        <v>1137114.9336204401</v>
      </c>
      <c r="J29" s="3">
        <v>17.453443041680099</v>
      </c>
      <c r="K29" s="4">
        <v>1137386.5286859199</v>
      </c>
      <c r="L29" s="3">
        <v>17.0157312459807</v>
      </c>
      <c r="M29">
        <v>17.0157312459807</v>
      </c>
      <c r="N29">
        <f t="shared" si="0"/>
        <v>0</v>
      </c>
      <c r="Q29">
        <v>17.003135058799799</v>
      </c>
      <c r="R29">
        <f t="shared" si="1"/>
        <v>-1.7506334846269872E-2</v>
      </c>
      <c r="U29" s="1">
        <f t="shared" si="2"/>
        <v>-1.6753108313351816E-2</v>
      </c>
      <c r="V29" s="1"/>
      <c r="W29" s="1"/>
      <c r="X29">
        <f t="shared" si="3"/>
        <v>8.5266264831751254E-4</v>
      </c>
      <c r="Y29">
        <f t="shared" si="4"/>
        <v>-2.387887130979587E-4</v>
      </c>
      <c r="Z29">
        <f t="shared" si="5"/>
        <v>1.6753108313351816E-2</v>
      </c>
      <c r="AA29">
        <f t="shared" si="6"/>
        <v>2.5723948584507186E-2</v>
      </c>
    </row>
    <row r="30" spans="1:37" x14ac:dyDescent="0.25">
      <c r="A30" t="s">
        <v>50</v>
      </c>
      <c r="B30" t="s">
        <v>43</v>
      </c>
      <c r="C30" t="s">
        <v>36</v>
      </c>
      <c r="D30" t="s">
        <v>33</v>
      </c>
      <c r="E30" t="s">
        <v>28</v>
      </c>
      <c r="F30" t="s">
        <v>64</v>
      </c>
      <c r="G30" s="4">
        <v>1135586.7680252199</v>
      </c>
      <c r="H30" s="3">
        <v>17.257187233780201</v>
      </c>
      <c r="I30" s="4">
        <v>1134258.1401500599</v>
      </c>
      <c r="J30" s="3">
        <v>17.366299206245699</v>
      </c>
      <c r="K30" s="4">
        <v>1135384.5504576</v>
      </c>
      <c r="L30" s="3">
        <v>16.9635410988022</v>
      </c>
      <c r="M30">
        <v>16.9635410988022</v>
      </c>
      <c r="N30">
        <f t="shared" si="0"/>
        <v>0</v>
      </c>
      <c r="Q30">
        <v>16.862728607532201</v>
      </c>
      <c r="R30">
        <f t="shared" si="1"/>
        <v>-2.3392336758109457E-2</v>
      </c>
      <c r="U30" s="1">
        <f t="shared" si="2"/>
        <v>-1.7310426712659394E-2</v>
      </c>
      <c r="V30" s="1"/>
      <c r="W30" s="1"/>
      <c r="X30">
        <f t="shared" si="3"/>
        <v>1.7810491391517244E-4</v>
      </c>
      <c r="Y30">
        <f t="shared" si="4"/>
        <v>-9.9209585605697153E-4</v>
      </c>
      <c r="Z30">
        <f t="shared" si="5"/>
        <v>1.7310426712659394E-2</v>
      </c>
      <c r="AA30">
        <f t="shared" si="6"/>
        <v>2.374257267970652E-2</v>
      </c>
    </row>
    <row r="31" spans="1:37" x14ac:dyDescent="0.25">
      <c r="A31" t="s">
        <v>50</v>
      </c>
      <c r="B31" t="s">
        <v>43</v>
      </c>
      <c r="C31" t="s">
        <v>36</v>
      </c>
      <c r="D31" t="s">
        <v>33</v>
      </c>
      <c r="E31" t="s">
        <v>30</v>
      </c>
      <c r="F31" t="s">
        <v>65</v>
      </c>
      <c r="G31" s="4">
        <v>1138104.8246325001</v>
      </c>
      <c r="H31" s="3">
        <v>17.385343598451801</v>
      </c>
      <c r="I31" s="4">
        <v>1136682.0988757</v>
      </c>
      <c r="J31" s="3">
        <v>17.517246695154501</v>
      </c>
      <c r="K31" s="4">
        <v>1138026.8805412501</v>
      </c>
      <c r="L31" s="3">
        <v>17.075189035562399</v>
      </c>
      <c r="M31">
        <v>17.075189035562399</v>
      </c>
      <c r="N31">
        <f t="shared" si="0"/>
        <v>0</v>
      </c>
      <c r="Q31">
        <v>17.052047895349599</v>
      </c>
      <c r="R31">
        <f t="shared" si="1"/>
        <v>-1.9545787412026779E-2</v>
      </c>
      <c r="U31" s="1">
        <f t="shared" si="2"/>
        <v>-1.8164048564466514E-2</v>
      </c>
      <c r="V31" s="1"/>
      <c r="W31" s="1"/>
      <c r="X31">
        <f t="shared" si="3"/>
        <v>6.8490553766959619E-5</v>
      </c>
      <c r="Y31">
        <f t="shared" si="4"/>
        <v>-1.1816782964832041E-3</v>
      </c>
      <c r="Z31">
        <f t="shared" si="5"/>
        <v>1.8164048564466514E-2</v>
      </c>
      <c r="AA31">
        <f t="shared" si="6"/>
        <v>2.5888888179886677E-2</v>
      </c>
    </row>
    <row r="35" spans="7:7" x14ac:dyDescent="0.25">
      <c r="G35" s="4">
        <f>MAX(G2:L16)</f>
        <v>69058.708908109998</v>
      </c>
    </row>
  </sheetData>
  <conditionalFormatting sqref="G2:G16 I2:I16 K2:K16">
    <cfRule type="colorScale" priority="8">
      <colorScale>
        <cfvo type="min"/>
        <cfvo type="max"/>
        <color rgb="FFFFEF9C"/>
        <color rgb="FF63BE7B"/>
      </colorScale>
    </cfRule>
  </conditionalFormatting>
  <conditionalFormatting sqref="G17:G31 I17:I31 K17:K31">
    <cfRule type="colorScale" priority="7">
      <colorScale>
        <cfvo type="min"/>
        <cfvo type="max"/>
        <color rgb="FFFFEF9C"/>
        <color rgb="FF63BE7B"/>
      </colorScale>
    </cfRule>
  </conditionalFormatting>
  <conditionalFormatting sqref="H2:H16 J2:J16 L2:L16">
    <cfRule type="colorScale" priority="6">
      <colorScale>
        <cfvo type="min"/>
        <cfvo type="max"/>
        <color rgb="FF63BE7B"/>
        <color rgb="FFFFEF9C"/>
      </colorScale>
    </cfRule>
  </conditionalFormatting>
  <conditionalFormatting sqref="H17:H31 J17:J31 L17:L31">
    <cfRule type="colorScale" priority="5">
      <colorScale>
        <cfvo type="min"/>
        <cfvo type="max"/>
        <color rgb="FF63BE7B"/>
        <color rgb="FFFFEF9C"/>
      </colorScale>
    </cfRule>
  </conditionalFormatting>
  <conditionalFormatting sqref="O3:O16 O18:O31">
    <cfRule type="colorScale" priority="4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BF34-DBB7-4563-B564-02CDC21D8F71}">
  <dimension ref="A1:G30"/>
  <sheetViews>
    <sheetView topLeftCell="A6" workbookViewId="0">
      <selection activeCell="C23" sqref="A1:G30"/>
    </sheetView>
  </sheetViews>
  <sheetFormatPr defaultRowHeight="15" x14ac:dyDescent="0.25"/>
  <sheetData>
    <row r="1" spans="1:7" x14ac:dyDescent="0.25">
      <c r="A1">
        <v>0.05</v>
      </c>
      <c r="B1">
        <v>4.5</v>
      </c>
      <c r="C1">
        <v>0</v>
      </c>
      <c r="D1" t="s">
        <v>32</v>
      </c>
      <c r="E1">
        <v>0.2</v>
      </c>
      <c r="F1" t="s">
        <v>26</v>
      </c>
      <c r="G1">
        <v>0.35</v>
      </c>
    </row>
    <row r="2" spans="1:7" x14ac:dyDescent="0.25">
      <c r="A2">
        <v>0.15</v>
      </c>
      <c r="B2">
        <v>4.5</v>
      </c>
      <c r="C2">
        <v>1.5</v>
      </c>
      <c r="D2" t="s">
        <v>38</v>
      </c>
      <c r="E2">
        <v>0.3</v>
      </c>
      <c r="F2" t="s">
        <v>32</v>
      </c>
      <c r="G2">
        <v>0.3</v>
      </c>
    </row>
    <row r="3" spans="1:7" x14ac:dyDescent="0.25">
      <c r="A3">
        <v>0.4</v>
      </c>
      <c r="B3">
        <v>0.75</v>
      </c>
      <c r="C3">
        <v>0.4</v>
      </c>
      <c r="D3" t="s">
        <v>32</v>
      </c>
      <c r="E3">
        <v>0.4</v>
      </c>
      <c r="F3" t="s">
        <v>32</v>
      </c>
      <c r="G3">
        <v>0.35</v>
      </c>
    </row>
    <row r="4" spans="1:7" x14ac:dyDescent="0.25">
      <c r="A4">
        <v>0.45</v>
      </c>
      <c r="B4">
        <v>0.25</v>
      </c>
      <c r="C4">
        <v>0.4</v>
      </c>
      <c r="D4" t="s">
        <v>32</v>
      </c>
      <c r="E4">
        <v>0.35</v>
      </c>
      <c r="F4" t="s">
        <v>32</v>
      </c>
      <c r="G4">
        <v>0.45</v>
      </c>
    </row>
    <row r="5" spans="1:7" x14ac:dyDescent="0.25">
      <c r="A5">
        <v>0.55000000000000004</v>
      </c>
      <c r="B5">
        <v>0.5</v>
      </c>
      <c r="C5">
        <v>0.4</v>
      </c>
      <c r="D5" t="s">
        <v>32</v>
      </c>
      <c r="E5">
        <v>0.55000000000000004</v>
      </c>
      <c r="F5" t="s">
        <v>32</v>
      </c>
      <c r="G5">
        <v>0.55000000000000004</v>
      </c>
    </row>
    <row r="6" spans="1:7" x14ac:dyDescent="0.25">
      <c r="A6">
        <v>0.25</v>
      </c>
      <c r="B6">
        <v>4.5</v>
      </c>
      <c r="C6">
        <v>0.45</v>
      </c>
      <c r="D6" t="s">
        <v>26</v>
      </c>
      <c r="E6">
        <v>0.3</v>
      </c>
      <c r="F6" t="s">
        <v>38</v>
      </c>
      <c r="G6">
        <v>0.55000000000000004</v>
      </c>
    </row>
    <row r="7" spans="1:7" x14ac:dyDescent="0.25">
      <c r="A7">
        <v>0.15</v>
      </c>
      <c r="B7">
        <v>0.5</v>
      </c>
      <c r="C7">
        <v>0.45</v>
      </c>
      <c r="D7" t="s">
        <v>26</v>
      </c>
      <c r="E7">
        <v>0.15</v>
      </c>
      <c r="F7" t="s">
        <v>38</v>
      </c>
      <c r="G7">
        <v>0.45</v>
      </c>
    </row>
    <row r="8" spans="1:7" x14ac:dyDescent="0.25">
      <c r="A8">
        <v>0.45</v>
      </c>
      <c r="B8">
        <v>0.5</v>
      </c>
      <c r="C8">
        <v>1</v>
      </c>
      <c r="D8" t="s">
        <v>32</v>
      </c>
      <c r="E8">
        <v>0.45</v>
      </c>
      <c r="F8" t="s">
        <v>32</v>
      </c>
      <c r="G8">
        <v>0.45</v>
      </c>
    </row>
    <row r="9" spans="1:7" x14ac:dyDescent="0.25">
      <c r="A9">
        <v>0.35</v>
      </c>
      <c r="B9">
        <v>0.5</v>
      </c>
      <c r="C9">
        <v>1.5</v>
      </c>
      <c r="D9" t="s">
        <v>26</v>
      </c>
      <c r="E9">
        <v>0.35</v>
      </c>
      <c r="F9" t="s">
        <v>38</v>
      </c>
      <c r="G9">
        <v>0.25</v>
      </c>
    </row>
    <row r="10" spans="1:7" x14ac:dyDescent="0.25">
      <c r="A10">
        <v>0.35</v>
      </c>
      <c r="B10">
        <v>0.25</v>
      </c>
      <c r="C10">
        <v>8</v>
      </c>
      <c r="D10" t="s">
        <v>32</v>
      </c>
      <c r="E10">
        <v>0.3</v>
      </c>
      <c r="F10" t="s">
        <v>32</v>
      </c>
      <c r="G10">
        <v>0.3</v>
      </c>
    </row>
    <row r="11" spans="1:7" x14ac:dyDescent="0.25">
      <c r="B11">
        <v>0.25</v>
      </c>
      <c r="C11">
        <v>0.45</v>
      </c>
      <c r="D11" t="s">
        <v>45</v>
      </c>
      <c r="F11" t="s">
        <v>32</v>
      </c>
    </row>
    <row r="12" spans="1:7" x14ac:dyDescent="0.25">
      <c r="B12">
        <v>0.75</v>
      </c>
      <c r="C12">
        <v>0.4</v>
      </c>
      <c r="D12" t="s">
        <v>26</v>
      </c>
      <c r="F12" t="s">
        <v>32</v>
      </c>
    </row>
    <row r="13" spans="1:7" x14ac:dyDescent="0.25">
      <c r="B13">
        <v>4.5</v>
      </c>
      <c r="C13">
        <v>1</v>
      </c>
      <c r="D13" t="s">
        <v>38</v>
      </c>
      <c r="F13" t="s">
        <v>32</v>
      </c>
    </row>
    <row r="14" spans="1:7" x14ac:dyDescent="0.25">
      <c r="B14">
        <v>0.5</v>
      </c>
      <c r="C14">
        <v>0.55000000000000004</v>
      </c>
      <c r="D14" t="s">
        <v>26</v>
      </c>
      <c r="F14" t="s">
        <v>32</v>
      </c>
    </row>
    <row r="15" spans="1:7" x14ac:dyDescent="0.25">
      <c r="B15">
        <v>1.25</v>
      </c>
      <c r="C15">
        <v>0</v>
      </c>
      <c r="D15" t="s">
        <v>32</v>
      </c>
      <c r="F15" t="s">
        <v>32</v>
      </c>
    </row>
    <row r="16" spans="1:7" x14ac:dyDescent="0.25">
      <c r="A16">
        <v>0.35</v>
      </c>
      <c r="B16">
        <v>4.5</v>
      </c>
      <c r="C16">
        <v>0.4</v>
      </c>
      <c r="D16" t="s">
        <v>38</v>
      </c>
      <c r="E16">
        <v>0.45</v>
      </c>
      <c r="F16" t="s">
        <v>26</v>
      </c>
      <c r="G16">
        <v>0.35</v>
      </c>
    </row>
    <row r="17" spans="1:7" x14ac:dyDescent="0.25">
      <c r="A17">
        <v>0.3</v>
      </c>
      <c r="B17">
        <v>0.25</v>
      </c>
      <c r="C17">
        <v>1.5</v>
      </c>
      <c r="D17" t="s">
        <v>38</v>
      </c>
      <c r="E17">
        <v>0.45</v>
      </c>
      <c r="F17" t="s">
        <v>26</v>
      </c>
      <c r="G17">
        <v>0.3</v>
      </c>
    </row>
    <row r="18" spans="1:7" x14ac:dyDescent="0.25">
      <c r="A18">
        <v>0.45</v>
      </c>
      <c r="B18">
        <v>1.25</v>
      </c>
      <c r="C18">
        <v>0.4</v>
      </c>
      <c r="D18" t="s">
        <v>38</v>
      </c>
      <c r="E18">
        <v>0.5</v>
      </c>
      <c r="F18" t="s">
        <v>38</v>
      </c>
      <c r="G18">
        <v>0.35</v>
      </c>
    </row>
    <row r="19" spans="1:7" x14ac:dyDescent="0.25">
      <c r="A19">
        <v>0.45</v>
      </c>
      <c r="B19">
        <v>0.25</v>
      </c>
      <c r="C19">
        <v>0</v>
      </c>
      <c r="D19" t="s">
        <v>38</v>
      </c>
      <c r="E19">
        <v>0.45</v>
      </c>
      <c r="F19" t="s">
        <v>38</v>
      </c>
      <c r="G19">
        <v>0.45</v>
      </c>
    </row>
    <row r="20" spans="1:7" x14ac:dyDescent="0.25">
      <c r="A20">
        <v>0.55000000000000004</v>
      </c>
      <c r="B20">
        <v>0.75</v>
      </c>
      <c r="C20">
        <v>0.8</v>
      </c>
      <c r="D20" t="s">
        <v>38</v>
      </c>
      <c r="E20">
        <v>0.65</v>
      </c>
      <c r="F20" t="s">
        <v>38</v>
      </c>
      <c r="G20">
        <v>0.65</v>
      </c>
    </row>
    <row r="21" spans="1:7" x14ac:dyDescent="0.25">
      <c r="A21">
        <v>0.25</v>
      </c>
      <c r="B21">
        <v>4.5</v>
      </c>
      <c r="C21">
        <v>0.4</v>
      </c>
      <c r="D21" t="s">
        <v>38</v>
      </c>
      <c r="E21">
        <v>0.25</v>
      </c>
      <c r="F21" t="s">
        <v>38</v>
      </c>
      <c r="G21">
        <v>0.05</v>
      </c>
    </row>
    <row r="22" spans="1:7" x14ac:dyDescent="0.25">
      <c r="A22">
        <v>0.1</v>
      </c>
      <c r="B22">
        <v>0.25</v>
      </c>
      <c r="C22">
        <v>0</v>
      </c>
      <c r="D22" t="s">
        <v>26</v>
      </c>
      <c r="E22">
        <v>0.1</v>
      </c>
      <c r="F22" t="s">
        <v>26</v>
      </c>
      <c r="G22">
        <v>0.1</v>
      </c>
    </row>
    <row r="23" spans="1:7" x14ac:dyDescent="0.25">
      <c r="A23">
        <v>0.2</v>
      </c>
      <c r="B23">
        <v>0.5</v>
      </c>
      <c r="C23">
        <v>0.4</v>
      </c>
      <c r="D23" t="s">
        <v>38</v>
      </c>
      <c r="E23">
        <v>0.25</v>
      </c>
      <c r="F23" t="s">
        <v>38</v>
      </c>
      <c r="G23">
        <v>0.25</v>
      </c>
    </row>
    <row r="24" spans="1:7" x14ac:dyDescent="0.25">
      <c r="A24">
        <v>0.3</v>
      </c>
      <c r="B24">
        <v>0.25</v>
      </c>
      <c r="C24">
        <v>1.5</v>
      </c>
      <c r="D24" t="s">
        <v>26</v>
      </c>
      <c r="E24">
        <v>0.35</v>
      </c>
      <c r="F24" t="s">
        <v>38</v>
      </c>
      <c r="G24">
        <v>0.25</v>
      </c>
    </row>
    <row r="25" spans="1:7" x14ac:dyDescent="0.25">
      <c r="A25">
        <v>0.45</v>
      </c>
      <c r="B25">
        <v>0.5</v>
      </c>
      <c r="C25">
        <v>8</v>
      </c>
      <c r="D25" t="s">
        <v>38</v>
      </c>
      <c r="E25">
        <v>0.25</v>
      </c>
      <c r="F25" t="s">
        <v>38</v>
      </c>
      <c r="G25">
        <v>0.3</v>
      </c>
    </row>
    <row r="26" spans="1:7" x14ac:dyDescent="0.25">
      <c r="B26">
        <v>0.5</v>
      </c>
      <c r="C26">
        <v>0.8</v>
      </c>
      <c r="D26" t="s">
        <v>26</v>
      </c>
      <c r="F26" t="s">
        <v>38</v>
      </c>
    </row>
    <row r="27" spans="1:7" x14ac:dyDescent="0.25">
      <c r="B27">
        <v>0.5</v>
      </c>
      <c r="C27">
        <v>0.8</v>
      </c>
      <c r="D27" t="s">
        <v>38</v>
      </c>
      <c r="F27" t="s">
        <v>38</v>
      </c>
    </row>
    <row r="28" spans="1:7" x14ac:dyDescent="0.25">
      <c r="B28">
        <v>0.5</v>
      </c>
      <c r="C28">
        <v>8</v>
      </c>
      <c r="D28" t="s">
        <v>26</v>
      </c>
      <c r="F28" t="s">
        <v>38</v>
      </c>
    </row>
    <row r="29" spans="1:7" x14ac:dyDescent="0.25">
      <c r="B29">
        <v>0.25</v>
      </c>
      <c r="C29">
        <v>1.5</v>
      </c>
      <c r="D29" t="s">
        <v>26</v>
      </c>
      <c r="F29" t="s">
        <v>38</v>
      </c>
    </row>
    <row r="30" spans="1:7" x14ac:dyDescent="0.25">
      <c r="B30">
        <v>0.5</v>
      </c>
      <c r="C30">
        <v>4</v>
      </c>
      <c r="D30" t="s">
        <v>38</v>
      </c>
      <c r="F30" t="s">
        <v>38</v>
      </c>
    </row>
  </sheetData>
  <conditionalFormatting sqref="A1:A10 A16:A25 E1:E10 E16:E25 G16:G25 G1:G10">
    <cfRule type="colorScale" priority="3">
      <colorScale>
        <cfvo type="min"/>
        <cfvo type="max"/>
        <color rgb="FFFFEF9C"/>
        <color rgb="FF63BE7B"/>
      </colorScale>
    </cfRule>
  </conditionalFormatting>
  <conditionalFormatting sqref="B1:B30">
    <cfRule type="colorScale" priority="2">
      <colorScale>
        <cfvo type="min"/>
        <cfvo type="max"/>
        <color rgb="FFFFEF9C"/>
        <color rgb="FF63BE7B"/>
      </colorScale>
    </cfRule>
  </conditionalFormatting>
  <conditionalFormatting sqref="C1:C3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kernel</vt:lpstr>
      <vt:lpstr>mae</vt:lpstr>
      <vt:lpstr>static</vt:lpstr>
      <vt:lpstr>all</vt:lpstr>
      <vt:lpstr>all_params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riczi</dc:creator>
  <cp:lastModifiedBy>Andrzej Puć</cp:lastModifiedBy>
  <dcterms:created xsi:type="dcterms:W3CDTF">2015-06-05T18:17:20Z</dcterms:created>
  <dcterms:modified xsi:type="dcterms:W3CDTF">2026-10-06T19:42:48Z</dcterms:modified>
</cp:coreProperties>
</file>